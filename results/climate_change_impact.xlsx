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A531EC8B-C965-467E-8A5C-BBF48E026205}" xr6:coauthVersionLast="36" xr6:coauthVersionMax="47" xr10:uidLastSave="{00000000-0000-0000-0000-000000000000}"/>
  <bookViews>
    <workbookView xWindow="0" yWindow="495" windowWidth="21600" windowHeight="8430" xr2:uid="{00000000-000D-0000-FFFF-FFFF00000000}"/>
  </bookViews>
  <sheets>
    <sheet name="overall_2020" sheetId="13" r:id="rId1"/>
    <sheet name="overall_2050" sheetId="17" r:id="rId2"/>
    <sheet name="overall_combined" sheetId="1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3" l="1"/>
  <c r="G8" i="13"/>
  <c r="F8" i="13"/>
  <c r="H8" i="13"/>
  <c r="C8" i="13"/>
  <c r="C7" i="13"/>
  <c r="E7" i="13"/>
  <c r="H7" i="13"/>
  <c r="F7" i="13"/>
  <c r="G7" i="13"/>
  <c r="F12" i="18" l="1"/>
  <c r="D16" i="18" l="1"/>
  <c r="E15" i="18"/>
  <c r="D15" i="18"/>
  <c r="D14" i="18"/>
  <c r="D13" i="18"/>
  <c r="E11" i="18" l="1"/>
  <c r="E16" i="18" s="1"/>
  <c r="E9" i="18"/>
  <c r="E14" i="18" s="1"/>
  <c r="H11" i="18"/>
  <c r="H16" i="18" s="1"/>
  <c r="G11" i="18"/>
  <c r="G16" i="18" s="1"/>
  <c r="F11" i="18"/>
  <c r="C11" i="18"/>
  <c r="C16" i="18" s="1"/>
  <c r="H10" i="18"/>
  <c r="H15" i="18" s="1"/>
  <c r="G10" i="18"/>
  <c r="G15" i="18" s="1"/>
  <c r="C10" i="18"/>
  <c r="C15" i="18" s="1"/>
  <c r="H9" i="18"/>
  <c r="H14" i="18" s="1"/>
  <c r="G9" i="18"/>
  <c r="G14" i="18" s="1"/>
  <c r="F9" i="18"/>
  <c r="C9" i="18"/>
  <c r="C14" i="18" s="1"/>
  <c r="H8" i="18"/>
  <c r="H13" i="18" s="1"/>
  <c r="G8" i="18"/>
  <c r="G13" i="18" s="1"/>
  <c r="F8" i="18"/>
  <c r="E8" i="18"/>
  <c r="E13" i="18" s="1"/>
  <c r="C8" i="18"/>
  <c r="C13" i="18" s="1"/>
  <c r="E7" i="18"/>
  <c r="E12" i="18" s="1"/>
  <c r="D7" i="18"/>
  <c r="D12" i="18" s="1"/>
  <c r="I6" i="18"/>
  <c r="I5" i="18"/>
  <c r="I4" i="18"/>
  <c r="I3" i="18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H2" i="18"/>
  <c r="H7" i="18" s="1"/>
  <c r="H12" i="18" s="1"/>
  <c r="G2" i="18"/>
  <c r="G7" i="18" s="1"/>
  <c r="G12" i="18" s="1"/>
  <c r="F2" i="18"/>
  <c r="F7" i="18" s="1"/>
  <c r="I15" i="18" l="1"/>
  <c r="I16" i="18"/>
  <c r="I13" i="18"/>
  <c r="I14" i="18"/>
  <c r="I12" i="18"/>
  <c r="I11" i="18"/>
  <c r="I10" i="18"/>
  <c r="I9" i="18"/>
  <c r="I8" i="18"/>
  <c r="I7" i="18"/>
  <c r="I2" i="18"/>
  <c r="I9" i="17"/>
  <c r="I8" i="17"/>
  <c r="I7" i="17"/>
  <c r="F6" i="17" l="1"/>
  <c r="H6" i="17"/>
  <c r="G6" i="17"/>
  <c r="H2" i="13"/>
  <c r="F2" i="13"/>
  <c r="G2" i="13"/>
  <c r="I6" i="17" l="1"/>
  <c r="C3" i="17"/>
  <c r="D3" i="17"/>
  <c r="E3" i="17"/>
  <c r="F3" i="17"/>
  <c r="G3" i="17"/>
  <c r="H3" i="17"/>
  <c r="C4" i="17"/>
  <c r="D4" i="17"/>
  <c r="E4" i="17"/>
  <c r="F4" i="17"/>
  <c r="G4" i="17"/>
  <c r="H4" i="17"/>
  <c r="C5" i="17"/>
  <c r="D5" i="17"/>
  <c r="E5" i="17"/>
  <c r="F5" i="17"/>
  <c r="G5" i="17"/>
  <c r="H5" i="17"/>
  <c r="D2" i="17"/>
  <c r="E2" i="17"/>
  <c r="F2" i="17"/>
  <c r="G2" i="17"/>
  <c r="H2" i="17"/>
  <c r="C2" i="17"/>
  <c r="I2" i="17" l="1"/>
  <c r="I5" i="17"/>
  <c r="I4" i="17"/>
  <c r="I3" i="17"/>
  <c r="A3" i="17"/>
  <c r="A4" i="17" s="1"/>
  <c r="A5" i="17" s="1"/>
  <c r="A6" i="17" s="1"/>
  <c r="A7" i="17" s="1"/>
  <c r="A8" i="17" s="1"/>
  <c r="A9" i="17" s="1"/>
  <c r="H9" i="13"/>
  <c r="G9" i="13"/>
  <c r="C9" i="13"/>
  <c r="H6" i="13"/>
  <c r="G6" i="13"/>
  <c r="E6" i="13"/>
  <c r="F6" i="13"/>
  <c r="D6" i="13"/>
  <c r="I2" i="13" l="1"/>
  <c r="M2" i="13" l="1"/>
  <c r="L2" i="13"/>
  <c r="I9" i="13"/>
  <c r="I8" i="13"/>
  <c r="I7" i="13"/>
  <c r="I6" i="13"/>
  <c r="I5" i="13"/>
  <c r="I4" i="13"/>
  <c r="I3" i="13"/>
  <c r="A3" i="13"/>
  <c r="A4" i="13" s="1"/>
  <c r="A5" i="13" s="1"/>
  <c r="A6" i="13" s="1"/>
  <c r="A7" i="13" s="1"/>
  <c r="A8" i="13" s="1"/>
  <c r="A9" i="13" s="1"/>
  <c r="M3" i="13" l="1"/>
  <c r="L3" i="13"/>
  <c r="L8" i="13"/>
  <c r="M8" i="13"/>
  <c r="M4" i="13"/>
  <c r="L4" i="13"/>
  <c r="M5" i="13"/>
  <c r="L5" i="13"/>
  <c r="L6" i="13"/>
  <c r="M6" i="13"/>
  <c r="L7" i="13"/>
  <c r="M7" i="13"/>
  <c r="L9" i="13"/>
  <c r="M9" i="13"/>
</calcChain>
</file>

<file path=xl/sharedStrings.xml><?xml version="1.0" encoding="utf-8"?>
<sst xmlns="http://schemas.openxmlformats.org/spreadsheetml/2006/main" count="59" uniqueCount="20">
  <si>
    <t>Electricity</t>
  </si>
  <si>
    <t>Total</t>
  </si>
  <si>
    <t>Scenario</t>
  </si>
  <si>
    <t>Direct emissions</t>
  </si>
  <si>
    <t>Methane</t>
  </si>
  <si>
    <t>Heating</t>
  </si>
  <si>
    <t>Calcium carbide</t>
  </si>
  <si>
    <t>Partial oxidation</t>
  </si>
  <si>
    <t>Hot plasma</t>
  </si>
  <si>
    <t>Cold plasma</t>
  </si>
  <si>
    <t>Thermal pyrolysis</t>
  </si>
  <si>
    <t>Other utilities</t>
  </si>
  <si>
    <t>Coke</t>
  </si>
  <si>
    <t>Partial combustion</t>
  </si>
  <si>
    <t>Thermal plasma</t>
  </si>
  <si>
    <t>Non-thermal plasma</t>
  </si>
  <si>
    <t>2050 Total</t>
  </si>
  <si>
    <t>STDEV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</si>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</sst>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B65D-7EBA-4158-848E-48E37BA8AC0B}">
  <dimension ref="A1:M9"/>
  <sheetViews>
    <sheetView tabSelected="1" zoomScaleNormal="100" workbookViewId="0">
      <selection activeCell="G25" sqref="G25"/>
    </sheetView>
  </sheetViews>
  <sheetFormatPr defaultColWidth="8.85546875" defaultRowHeight="15" x14ac:dyDescent="0.25"/>
  <cols>
    <col min="1" max="1" width="3" bestFit="1" customWidth="1"/>
    <col min="2" max="2" width="32.7109375" bestFit="1" customWidth="1"/>
    <col min="3" max="3" width="38.140625" bestFit="1" customWidth="1"/>
    <col min="4" max="4" width="26.42578125" bestFit="1" customWidth="1"/>
    <col min="5" max="5" width="38.5703125" bestFit="1" customWidth="1"/>
    <col min="6" max="6" width="15.7109375" bestFit="1" customWidth="1"/>
    <col min="7" max="7" width="17.7109375" bestFit="1" customWidth="1"/>
    <col min="8" max="8" width="15.85546875" bestFit="1" customWidth="1"/>
    <col min="9" max="9" width="11.28515625" bestFit="1" customWidth="1"/>
    <col min="10" max="10" width="9.85546875" bestFit="1" customWidth="1"/>
  </cols>
  <sheetData>
    <row r="1" spans="1:13" x14ac:dyDescent="0.25"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  <c r="J1" s="8" t="s">
        <v>16</v>
      </c>
      <c r="K1" s="8" t="s">
        <v>17</v>
      </c>
      <c r="L1" s="8" t="s">
        <v>18</v>
      </c>
      <c r="M1" s="8" t="s">
        <v>19</v>
      </c>
    </row>
    <row r="2" spans="1:13" x14ac:dyDescent="0.25">
      <c r="A2" s="4">
        <v>0</v>
      </c>
      <c r="B2" s="5" t="s">
        <v>6</v>
      </c>
      <c r="C2" s="6">
        <v>1.83828686723624</v>
      </c>
      <c r="D2" s="6">
        <v>0</v>
      </c>
      <c r="E2" s="6">
        <v>0</v>
      </c>
      <c r="F2" s="6">
        <f>0.343017757736449+6.99461492646626</f>
        <v>7.3376326842027089</v>
      </c>
      <c r="G2" s="6">
        <f>0.122995172300064+0.0494916194816559</f>
        <v>0.17248679178171991</v>
      </c>
      <c r="H2" s="6">
        <f>0.00143962489334015+3.5999997466852</f>
        <v>3.60143937157854</v>
      </c>
      <c r="I2" s="9">
        <f t="shared" ref="I2:I9" si="0">SUM(C2:H2)</f>
        <v>12.949845714799208</v>
      </c>
      <c r="J2" s="6">
        <v>4.7762440370453882</v>
      </c>
      <c r="K2" s="10">
        <v>0.6025765827677021</v>
      </c>
      <c r="L2" s="10">
        <f>I2-2*K2</f>
        <v>11.744692549263803</v>
      </c>
      <c r="M2" s="10">
        <f>I2+2*K2</f>
        <v>14.154998880334613</v>
      </c>
    </row>
    <row r="3" spans="1:13" x14ac:dyDescent="0.25">
      <c r="A3" s="4">
        <f>A2+1</f>
        <v>1</v>
      </c>
      <c r="B3" s="5" t="s">
        <v>13</v>
      </c>
      <c r="C3" s="6">
        <v>0</v>
      </c>
      <c r="D3" s="6">
        <v>3.135920137502469</v>
      </c>
      <c r="E3" s="6">
        <v>1.5691224391949929</v>
      </c>
      <c r="F3" s="6">
        <v>2.2397001881108878</v>
      </c>
      <c r="G3" s="6">
        <v>6.7907658472127347E-2</v>
      </c>
      <c r="H3" s="6">
        <v>0.79999995140534441</v>
      </c>
      <c r="I3" s="9">
        <f t="shared" si="0"/>
        <v>7.8126503746858216</v>
      </c>
      <c r="J3" s="6">
        <v>4.8992012920358761</v>
      </c>
      <c r="K3" s="10">
        <v>0.65833126434671541</v>
      </c>
      <c r="L3" s="10">
        <f t="shared" ref="L3:L9" si="1">I3-2*K3</f>
        <v>6.4959878459923903</v>
      </c>
      <c r="M3" s="10">
        <f t="shared" ref="M3:M9" si="2">I3+2*K3</f>
        <v>9.1293129033792528</v>
      </c>
    </row>
    <row r="4" spans="1:13" x14ac:dyDescent="0.25">
      <c r="A4" s="4">
        <f t="shared" ref="A4:A9" si="3">A3+1</f>
        <v>2</v>
      </c>
      <c r="B4" s="5" t="s">
        <v>14</v>
      </c>
      <c r="C4" s="6">
        <v>0</v>
      </c>
      <c r="D4" s="6">
        <v>1.0926551001750751</v>
      </c>
      <c r="E4" s="6">
        <v>1.3947755015066681</v>
      </c>
      <c r="F4" s="6">
        <v>8.2172141528628764</v>
      </c>
      <c r="G4" s="6">
        <v>6.4980581548237548E-2</v>
      </c>
      <c r="H4" s="6">
        <v>0</v>
      </c>
      <c r="I4" s="9">
        <f t="shared" si="0"/>
        <v>10.769625336092858</v>
      </c>
      <c r="J4" s="6">
        <v>1.7403840939219</v>
      </c>
      <c r="K4" s="10">
        <v>0.53521780275843245</v>
      </c>
      <c r="L4" s="10">
        <f t="shared" si="1"/>
        <v>9.6991897305759931</v>
      </c>
      <c r="M4" s="10">
        <f t="shared" si="2"/>
        <v>11.840060941609723</v>
      </c>
    </row>
    <row r="5" spans="1:13" x14ac:dyDescent="0.25">
      <c r="A5" s="4">
        <f t="shared" si="3"/>
        <v>3</v>
      </c>
      <c r="B5" s="5" t="s">
        <v>15</v>
      </c>
      <c r="C5" s="6">
        <v>0</v>
      </c>
      <c r="D5" s="6">
        <v>1.0406239049286441</v>
      </c>
      <c r="E5" s="6">
        <v>0</v>
      </c>
      <c r="F5" s="6">
        <v>8.590723887083902</v>
      </c>
      <c r="G5" s="6">
        <v>0</v>
      </c>
      <c r="H5" s="6">
        <v>0</v>
      </c>
      <c r="I5" s="9">
        <f t="shared" si="0"/>
        <v>9.6313477920125461</v>
      </c>
      <c r="J5" s="6">
        <v>0.35210382269349338</v>
      </c>
      <c r="K5" s="10">
        <v>0.49842298822258352</v>
      </c>
      <c r="L5" s="10">
        <f t="shared" si="1"/>
        <v>8.6345018155673792</v>
      </c>
      <c r="M5" s="10">
        <f t="shared" si="2"/>
        <v>10.628193768457713</v>
      </c>
    </row>
    <row r="6" spans="1:13" x14ac:dyDescent="0.25">
      <c r="A6" s="4">
        <f t="shared" si="3"/>
        <v>4</v>
      </c>
      <c r="B6" s="5" t="s">
        <v>6</v>
      </c>
      <c r="C6" s="6">
        <v>-7.7153776971526904</v>
      </c>
      <c r="D6" s="6">
        <f>D2</f>
        <v>0</v>
      </c>
      <c r="E6" s="6">
        <f>E2</f>
        <v>0</v>
      </c>
      <c r="F6" s="6">
        <f>F2</f>
        <v>7.3376326842027089</v>
      </c>
      <c r="G6" s="6">
        <f>G2</f>
        <v>0.17248679178171991</v>
      </c>
      <c r="H6" s="6">
        <f>H2</f>
        <v>3.60143937157854</v>
      </c>
      <c r="I6" s="9">
        <f t="shared" si="0"/>
        <v>3.3961811504102783</v>
      </c>
      <c r="J6" s="6">
        <v>-6.1998417026958261</v>
      </c>
      <c r="K6" s="10">
        <v>0.77004690281622445</v>
      </c>
      <c r="L6" s="10">
        <f t="shared" si="1"/>
        <v>1.8560873447778294</v>
      </c>
      <c r="M6" s="10">
        <f t="shared" si="2"/>
        <v>4.9362749560427268</v>
      </c>
    </row>
    <row r="7" spans="1:13" x14ac:dyDescent="0.25">
      <c r="A7" s="4">
        <f t="shared" si="3"/>
        <v>5</v>
      </c>
      <c r="B7" s="5" t="s">
        <v>13</v>
      </c>
      <c r="C7" s="6">
        <f>C3</f>
        <v>0</v>
      </c>
      <c r="D7" s="6">
        <v>-10.80594346993629</v>
      </c>
      <c r="E7" s="6">
        <f t="shared" ref="E7:H8" si="4">E3</f>
        <v>1.5691224391949929</v>
      </c>
      <c r="F7" s="6">
        <f t="shared" si="4"/>
        <v>2.2397001881108878</v>
      </c>
      <c r="G7" s="6">
        <f t="shared" si="4"/>
        <v>6.7907658472127347E-2</v>
      </c>
      <c r="H7" s="6">
        <f t="shared" si="4"/>
        <v>0.79999995140534441</v>
      </c>
      <c r="I7" s="9">
        <f t="shared" si="0"/>
        <v>-6.1292132327529369</v>
      </c>
      <c r="J7" s="6">
        <v>-9.3375648539192433</v>
      </c>
      <c r="K7" s="10">
        <v>0.30408550824388342</v>
      </c>
      <c r="L7" s="10">
        <f t="shared" si="1"/>
        <v>-6.7373842492407041</v>
      </c>
      <c r="M7" s="10">
        <f t="shared" si="2"/>
        <v>-5.5210422162651698</v>
      </c>
    </row>
    <row r="8" spans="1:13" x14ac:dyDescent="0.25">
      <c r="A8" s="4">
        <f t="shared" si="3"/>
        <v>6</v>
      </c>
      <c r="B8" s="5" t="s">
        <v>14</v>
      </c>
      <c r="C8" s="6">
        <f>C4</f>
        <v>0</v>
      </c>
      <c r="D8" s="6">
        <v>-3.765137097538771</v>
      </c>
      <c r="E8" s="6">
        <f t="shared" si="4"/>
        <v>1.3947755015066681</v>
      </c>
      <c r="F8" s="6">
        <f t="shared" si="4"/>
        <v>8.2172141528628764</v>
      </c>
      <c r="G8" s="6">
        <f t="shared" si="4"/>
        <v>6.4980581548237548E-2</v>
      </c>
      <c r="H8" s="6">
        <f t="shared" si="4"/>
        <v>0</v>
      </c>
      <c r="I8" s="9">
        <f t="shared" si="0"/>
        <v>5.911833138379011</v>
      </c>
      <c r="J8" s="6">
        <v>-3.2201616816371099</v>
      </c>
      <c r="K8" s="10">
        <v>0.46186193701837902</v>
      </c>
      <c r="L8" s="10">
        <f t="shared" si="1"/>
        <v>4.9881092643422527</v>
      </c>
      <c r="M8" s="10">
        <f t="shared" si="2"/>
        <v>6.8355570124157694</v>
      </c>
    </row>
    <row r="9" spans="1:13" x14ac:dyDescent="0.25">
      <c r="A9" s="4">
        <f t="shared" si="3"/>
        <v>7</v>
      </c>
      <c r="B9" s="5" t="s">
        <v>15</v>
      </c>
      <c r="C9" s="6">
        <f>C5</f>
        <v>0</v>
      </c>
      <c r="D9" s="6">
        <v>-3.5858448547988329</v>
      </c>
      <c r="E9" s="6">
        <v>0</v>
      </c>
      <c r="F9" s="6">
        <v>8.590723887083902</v>
      </c>
      <c r="G9" s="6">
        <f t="shared" ref="G9:H9" si="5">G5</f>
        <v>0</v>
      </c>
      <c r="H9" s="6">
        <f t="shared" si="5"/>
        <v>0</v>
      </c>
      <c r="I9" s="9">
        <f t="shared" si="0"/>
        <v>5.0048790322850696</v>
      </c>
      <c r="J9" s="6">
        <v>-4.372225490099261</v>
      </c>
      <c r="K9" s="10">
        <v>0.43230126449774631</v>
      </c>
      <c r="L9" s="10">
        <f t="shared" si="1"/>
        <v>4.1402765032895772</v>
      </c>
      <c r="M9" s="10">
        <f t="shared" si="2"/>
        <v>5.869481561280562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DF06-9967-4298-9150-02034066E2A9}">
  <dimension ref="A1:K9"/>
  <sheetViews>
    <sheetView zoomScale="145" zoomScaleNormal="145" workbookViewId="0">
      <selection activeCell="D28" sqref="D28"/>
    </sheetView>
  </sheetViews>
  <sheetFormatPr defaultColWidth="8.85546875" defaultRowHeight="15" x14ac:dyDescent="0.25"/>
  <cols>
    <col min="1" max="1" width="3" bestFit="1" customWidth="1"/>
    <col min="2" max="2" width="16.7109375" bestFit="1" customWidth="1"/>
    <col min="3" max="3" width="6.5703125" bestFit="1" customWidth="1"/>
    <col min="4" max="4" width="9" bestFit="1" customWidth="1"/>
    <col min="5" max="5" width="7.85546875" bestFit="1" customWidth="1"/>
    <col min="6" max="6" width="9.7109375" bestFit="1" customWidth="1"/>
    <col min="7" max="7" width="13.5703125" bestFit="1" customWidth="1"/>
    <col min="8" max="8" width="15.7109375" bestFit="1" customWidth="1"/>
    <col min="9" max="9" width="6.5703125" bestFit="1" customWidth="1"/>
  </cols>
  <sheetData>
    <row r="1" spans="1:11" x14ac:dyDescent="0.25"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</row>
    <row r="2" spans="1:11" x14ac:dyDescent="0.25">
      <c r="A2" s="4">
        <v>0</v>
      </c>
      <c r="B2" s="5" t="s">
        <v>6</v>
      </c>
      <c r="C2" s="6">
        <f>overall_2020!C2</f>
        <v>1.83828686723624</v>
      </c>
      <c r="D2" s="6">
        <f>overall_2020!D2</f>
        <v>0</v>
      </c>
      <c r="E2" s="6">
        <f>overall_2020!E2</f>
        <v>0</v>
      </c>
      <c r="F2" s="6">
        <f>overall_2020!F2</f>
        <v>7.3376326842027089</v>
      </c>
      <c r="G2" s="6">
        <f>overall_2020!G2</f>
        <v>0.17248679178171991</v>
      </c>
      <c r="H2" s="6">
        <f>overall_2020!H2</f>
        <v>3.60143937157854</v>
      </c>
      <c r="I2" s="6">
        <f>SUM(C2:H2)</f>
        <v>12.949845714799208</v>
      </c>
      <c r="K2" s="3"/>
    </row>
    <row r="3" spans="1:11" x14ac:dyDescent="0.25">
      <c r="A3" s="4">
        <f>A2+1</f>
        <v>1</v>
      </c>
      <c r="B3" s="5" t="s">
        <v>7</v>
      </c>
      <c r="C3" s="6">
        <f>overall_2020!C3</f>
        <v>0</v>
      </c>
      <c r="D3" s="6">
        <f>overall_2020!D3</f>
        <v>3.135920137502469</v>
      </c>
      <c r="E3" s="6">
        <f>overall_2020!E3</f>
        <v>1.5691224391949929</v>
      </c>
      <c r="F3" s="6">
        <f>overall_2020!F3</f>
        <v>2.2397001881108878</v>
      </c>
      <c r="G3" s="6">
        <f>overall_2020!G3</f>
        <v>6.7907658472127347E-2</v>
      </c>
      <c r="H3" s="6">
        <f>overall_2020!H3</f>
        <v>0.79999995140534441</v>
      </c>
      <c r="I3" s="6">
        <f t="shared" ref="I3:I9" si="0">SUM(C3:H3)</f>
        <v>7.8126503746858216</v>
      </c>
      <c r="K3" s="3"/>
    </row>
    <row r="4" spans="1:11" x14ac:dyDescent="0.25">
      <c r="A4" s="4">
        <f t="shared" ref="A4:A9" si="1">A3+1</f>
        <v>2</v>
      </c>
      <c r="B4" s="5" t="s">
        <v>8</v>
      </c>
      <c r="C4" s="6">
        <f>overall_2020!C4</f>
        <v>0</v>
      </c>
      <c r="D4" s="6">
        <f>overall_2020!D4</f>
        <v>1.0926551001750751</v>
      </c>
      <c r="E4" s="6">
        <f>overall_2020!E4</f>
        <v>1.3947755015066681</v>
      </c>
      <c r="F4" s="6">
        <f>overall_2020!F4</f>
        <v>8.2172141528628764</v>
      </c>
      <c r="G4" s="6">
        <f>overall_2020!G4</f>
        <v>6.4980581548237548E-2</v>
      </c>
      <c r="H4" s="6">
        <f>overall_2020!H4</f>
        <v>0</v>
      </c>
      <c r="I4" s="6">
        <f t="shared" si="0"/>
        <v>10.769625336092858</v>
      </c>
    </row>
    <row r="5" spans="1:11" x14ac:dyDescent="0.25">
      <c r="A5" s="4">
        <f t="shared" si="1"/>
        <v>3</v>
      </c>
      <c r="B5" s="5" t="s">
        <v>9</v>
      </c>
      <c r="C5" s="6">
        <f>overall_2020!C5</f>
        <v>0</v>
      </c>
      <c r="D5" s="6">
        <f>overall_2020!D5</f>
        <v>1.0406239049286441</v>
      </c>
      <c r="E5" s="6">
        <f>overall_2020!E5</f>
        <v>0</v>
      </c>
      <c r="F5" s="6">
        <f>overall_2020!F5</f>
        <v>8.590723887083902</v>
      </c>
      <c r="G5" s="6">
        <f>overall_2020!G5</f>
        <v>0</v>
      </c>
      <c r="H5" s="6">
        <f>overall_2020!H5</f>
        <v>0</v>
      </c>
      <c r="I5" s="6">
        <f t="shared" si="0"/>
        <v>9.6313477920125461</v>
      </c>
    </row>
    <row r="6" spans="1:11" x14ac:dyDescent="0.25">
      <c r="A6" s="4">
        <f t="shared" si="1"/>
        <v>4</v>
      </c>
      <c r="B6" s="5" t="s">
        <v>6</v>
      </c>
      <c r="C6" s="6">
        <v>1.62898952999324</v>
      </c>
      <c r="D6" s="6">
        <v>0</v>
      </c>
      <c r="E6" s="6">
        <v>0</v>
      </c>
      <c r="F6" s="6">
        <f>-0.0226048237182588+-0.460944175115721</f>
        <v>-0.48354899883397978</v>
      </c>
      <c r="G6" s="6">
        <f>0.0173825438103353+0.0116868800922303</f>
        <v>2.9069423902565599E-2</v>
      </c>
      <c r="H6" s="6">
        <f>0.00143985248660972+3.59999995015705</f>
        <v>3.6014398026436596</v>
      </c>
      <c r="I6" s="6">
        <f t="shared" si="0"/>
        <v>4.7759497577054848</v>
      </c>
      <c r="J6" s="7"/>
      <c r="K6" s="7"/>
    </row>
    <row r="7" spans="1:11" x14ac:dyDescent="0.25">
      <c r="A7" s="4">
        <f t="shared" si="1"/>
        <v>5</v>
      </c>
      <c r="B7" s="5" t="s">
        <v>7</v>
      </c>
      <c r="C7" s="6">
        <v>0</v>
      </c>
      <c r="D7" s="6">
        <v>2.7670901492898499</v>
      </c>
      <c r="E7" s="6">
        <v>1.4399676873228131</v>
      </c>
      <c r="F7" s="6">
        <v>-0.147595938671191</v>
      </c>
      <c r="G7" s="6">
        <v>3.9739497758285461E-2</v>
      </c>
      <c r="H7" s="6">
        <v>0.79999989633611968</v>
      </c>
      <c r="I7" s="6">
        <f t="shared" si="0"/>
        <v>4.8992012920358761</v>
      </c>
    </row>
    <row r="8" spans="1:11" x14ac:dyDescent="0.25">
      <c r="A8" s="4">
        <f t="shared" si="1"/>
        <v>6</v>
      </c>
      <c r="B8" s="5" t="s">
        <v>8</v>
      </c>
      <c r="C8" s="6">
        <v>0</v>
      </c>
      <c r="D8" s="6">
        <v>0.96414290916022749</v>
      </c>
      <c r="E8" s="6">
        <v>1.2799712776202781</v>
      </c>
      <c r="F8" s="6">
        <v>-0.54151329833881134</v>
      </c>
      <c r="G8" s="6">
        <v>3.7783221427250262E-2</v>
      </c>
      <c r="H8" s="6">
        <v>0</v>
      </c>
      <c r="I8" s="6">
        <f t="shared" si="0"/>
        <v>1.7403841098689443</v>
      </c>
    </row>
    <row r="9" spans="1:11" x14ac:dyDescent="0.25">
      <c r="A9" s="4">
        <f t="shared" si="1"/>
        <v>7</v>
      </c>
      <c r="B9" s="5" t="s">
        <v>9</v>
      </c>
      <c r="C9" s="6">
        <v>0</v>
      </c>
      <c r="D9" s="6">
        <v>0.91823134205735779</v>
      </c>
      <c r="E9" s="6">
        <v>0</v>
      </c>
      <c r="F9" s="6">
        <v>-0.56612753917239111</v>
      </c>
      <c r="G9" s="6">
        <v>0</v>
      </c>
      <c r="H9" s="6">
        <v>0</v>
      </c>
      <c r="I9" s="6">
        <f t="shared" si="0"/>
        <v>0.35210380288496668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375F-F448-4307-A0F6-7026BDCF391D}">
  <dimension ref="A1:J16"/>
  <sheetViews>
    <sheetView zoomScale="145" zoomScaleNormal="145" workbookViewId="0">
      <selection activeCell="C12" sqref="C12:H12"/>
    </sheetView>
  </sheetViews>
  <sheetFormatPr defaultColWidth="8.85546875" defaultRowHeight="15" x14ac:dyDescent="0.25"/>
  <cols>
    <col min="1" max="1" width="3" bestFit="1" customWidth="1"/>
    <col min="2" max="2" width="16.7109375" bestFit="1" customWidth="1"/>
    <col min="3" max="3" width="6.5703125" bestFit="1" customWidth="1"/>
    <col min="4" max="4" width="9" bestFit="1" customWidth="1"/>
    <col min="5" max="5" width="7.85546875" bestFit="1" customWidth="1"/>
    <col min="6" max="6" width="9.7109375" bestFit="1" customWidth="1"/>
    <col min="7" max="7" width="13.5703125" bestFit="1" customWidth="1"/>
    <col min="8" max="8" width="15.7109375" bestFit="1" customWidth="1"/>
    <col min="9" max="9" width="6.7109375" bestFit="1" customWidth="1"/>
  </cols>
  <sheetData>
    <row r="1" spans="1:10" x14ac:dyDescent="0.25">
      <c r="B1" s="2" t="s">
        <v>2</v>
      </c>
      <c r="C1" s="1" t="s">
        <v>12</v>
      </c>
      <c r="D1" s="1" t="s">
        <v>4</v>
      </c>
      <c r="E1" s="1" t="s">
        <v>5</v>
      </c>
      <c r="F1" s="1" t="s">
        <v>0</v>
      </c>
      <c r="G1" s="1" t="s">
        <v>11</v>
      </c>
      <c r="H1" s="1" t="s">
        <v>3</v>
      </c>
      <c r="I1" s="1" t="s">
        <v>1</v>
      </c>
    </row>
    <row r="2" spans="1:10" x14ac:dyDescent="0.25">
      <c r="A2" s="4">
        <v>0</v>
      </c>
      <c r="B2" s="5" t="s">
        <v>6</v>
      </c>
      <c r="C2" s="6">
        <v>1.83828686723624</v>
      </c>
      <c r="D2" s="6">
        <v>0</v>
      </c>
      <c r="E2" s="6">
        <v>0</v>
      </c>
      <c r="F2" s="6">
        <f>0.343017757736449+6.99461492646626</f>
        <v>7.3376326842027089</v>
      </c>
      <c r="G2" s="6">
        <f>0.122995172300064+0.0494916194816559</f>
        <v>0.17248679178171991</v>
      </c>
      <c r="H2" s="6">
        <f>0.00143962489334015+3.5999997466852</f>
        <v>3.60143937157854</v>
      </c>
      <c r="I2" s="6">
        <f t="shared" ref="I2:I11" si="0">SUM(C2:H2)</f>
        <v>12.949845714799208</v>
      </c>
    </row>
    <row r="3" spans="1:10" x14ac:dyDescent="0.25">
      <c r="A3" s="4">
        <f>A2+1</f>
        <v>1</v>
      </c>
      <c r="B3" s="5" t="s">
        <v>7</v>
      </c>
      <c r="C3" s="6">
        <v>0</v>
      </c>
      <c r="D3" s="6">
        <v>1.944270485251528</v>
      </c>
      <c r="E3" s="6">
        <v>0.97285591230089707</v>
      </c>
      <c r="F3" s="6">
        <v>1.3886141166287489</v>
      </c>
      <c r="G3" s="6">
        <v>4.2102748252720666E-2</v>
      </c>
      <c r="H3" s="6">
        <v>0.4959999613582049</v>
      </c>
      <c r="I3" s="6">
        <f t="shared" si="0"/>
        <v>4.8438432237921001</v>
      </c>
    </row>
    <row r="4" spans="1:10" x14ac:dyDescent="0.25">
      <c r="A4" s="4">
        <f t="shared" ref="A4:A16" si="1">A3+1</f>
        <v>2</v>
      </c>
      <c r="B4" s="5" t="s">
        <v>8</v>
      </c>
      <c r="C4" s="6">
        <v>0</v>
      </c>
      <c r="D4" s="6">
        <v>0.77469246602412867</v>
      </c>
      <c r="E4" s="6">
        <v>0.98889583056822283</v>
      </c>
      <c r="F4" s="6">
        <v>5.2963680312543406</v>
      </c>
      <c r="G4" s="6">
        <v>4.6071232317702278E-2</v>
      </c>
      <c r="H4" s="6">
        <v>0</v>
      </c>
      <c r="I4" s="6">
        <f t="shared" si="0"/>
        <v>7.1060275601643941</v>
      </c>
    </row>
    <row r="5" spans="1:10" x14ac:dyDescent="0.25">
      <c r="A5" s="4">
        <f t="shared" si="1"/>
        <v>3</v>
      </c>
      <c r="B5" s="5" t="s">
        <v>9</v>
      </c>
      <c r="C5" s="6">
        <v>0</v>
      </c>
      <c r="D5" s="6">
        <v>1.0406239049286441</v>
      </c>
      <c r="E5" s="6">
        <v>0</v>
      </c>
      <c r="F5" s="6">
        <v>8.590723887083902</v>
      </c>
      <c r="G5" s="6">
        <v>0</v>
      </c>
      <c r="H5" s="6">
        <v>0</v>
      </c>
      <c r="I5" s="6">
        <f t="shared" si="0"/>
        <v>9.6313477920125461</v>
      </c>
    </row>
    <row r="6" spans="1:10" x14ac:dyDescent="0.25">
      <c r="A6" s="4">
        <f t="shared" si="1"/>
        <v>4</v>
      </c>
      <c r="B6" s="5" t="s">
        <v>10</v>
      </c>
      <c r="C6" s="6">
        <v>0</v>
      </c>
      <c r="D6" s="6">
        <v>0.94781150259717029</v>
      </c>
      <c r="E6" s="6">
        <v>1.140615896283117</v>
      </c>
      <c r="F6" s="6">
        <v>0</v>
      </c>
      <c r="G6" s="6">
        <v>0</v>
      </c>
      <c r="H6" s="6">
        <v>0</v>
      </c>
      <c r="I6" s="6">
        <f t="shared" si="0"/>
        <v>2.0884273988802873</v>
      </c>
    </row>
    <row r="7" spans="1:10" x14ac:dyDescent="0.25">
      <c r="A7" s="4">
        <f t="shared" si="1"/>
        <v>5</v>
      </c>
      <c r="B7" s="5" t="s">
        <v>6</v>
      </c>
      <c r="C7" s="6">
        <v>-7.7153776971526904</v>
      </c>
      <c r="D7" s="6">
        <f>D2</f>
        <v>0</v>
      </c>
      <c r="E7" s="6">
        <f>E2</f>
        <v>0</v>
      </c>
      <c r="F7" s="6">
        <f>F2</f>
        <v>7.3376326842027089</v>
      </c>
      <c r="G7" s="6">
        <f>G2</f>
        <v>0.17248679178171991</v>
      </c>
      <c r="H7" s="6">
        <f>H2</f>
        <v>3.60143937157854</v>
      </c>
      <c r="I7" s="6">
        <f t="shared" si="0"/>
        <v>3.3961811504102783</v>
      </c>
      <c r="J7" s="7"/>
    </row>
    <row r="8" spans="1:10" x14ac:dyDescent="0.25">
      <c r="A8" s="4">
        <f t="shared" si="1"/>
        <v>6</v>
      </c>
      <c r="B8" s="5" t="s">
        <v>7</v>
      </c>
      <c r="C8" s="6">
        <f>C3</f>
        <v>0</v>
      </c>
      <c r="D8" s="6">
        <v>-6.6996849513604806</v>
      </c>
      <c r="E8" s="6">
        <f t="shared" ref="E8:H10" si="2">E3</f>
        <v>0.97285591230089707</v>
      </c>
      <c r="F8" s="6">
        <f t="shared" si="2"/>
        <v>1.3886141166287489</v>
      </c>
      <c r="G8" s="6">
        <f t="shared" si="2"/>
        <v>4.2102748252720666E-2</v>
      </c>
      <c r="H8" s="6">
        <f t="shared" si="2"/>
        <v>0.4959999613582049</v>
      </c>
      <c r="I8" s="6">
        <f t="shared" si="0"/>
        <v>-3.8001122128199087</v>
      </c>
      <c r="J8" s="7"/>
    </row>
    <row r="9" spans="1:10" x14ac:dyDescent="0.25">
      <c r="A9" s="4">
        <f t="shared" si="1"/>
        <v>7</v>
      </c>
      <c r="B9" s="5" t="s">
        <v>8</v>
      </c>
      <c r="C9" s="6">
        <f>C4</f>
        <v>0</v>
      </c>
      <c r="D9" s="6">
        <v>-2.669482202154994</v>
      </c>
      <c r="E9" s="6">
        <f>E4</f>
        <v>0.98889583056822283</v>
      </c>
      <c r="F9" s="6">
        <f t="shared" si="2"/>
        <v>5.2963680312543406</v>
      </c>
      <c r="G9" s="6">
        <f t="shared" si="2"/>
        <v>4.6071232317702278E-2</v>
      </c>
      <c r="H9" s="6">
        <f t="shared" si="2"/>
        <v>0</v>
      </c>
      <c r="I9" s="6">
        <f t="shared" si="0"/>
        <v>3.661852891985272</v>
      </c>
    </row>
    <row r="10" spans="1:10" x14ac:dyDescent="0.25">
      <c r="A10" s="4">
        <f t="shared" si="1"/>
        <v>8</v>
      </c>
      <c r="B10" s="5" t="s">
        <v>9</v>
      </c>
      <c r="C10" s="6">
        <f>C5</f>
        <v>0</v>
      </c>
      <c r="D10" s="6">
        <v>-3.5858448547988329</v>
      </c>
      <c r="E10" s="6">
        <v>0</v>
      </c>
      <c r="F10" s="6">
        <v>8.590723887083902</v>
      </c>
      <c r="G10" s="6">
        <f t="shared" si="2"/>
        <v>0</v>
      </c>
      <c r="H10" s="6">
        <f t="shared" si="2"/>
        <v>0</v>
      </c>
      <c r="I10" s="6">
        <f t="shared" si="0"/>
        <v>5.0048790322850696</v>
      </c>
    </row>
    <row r="11" spans="1:10" x14ac:dyDescent="0.25">
      <c r="A11" s="4">
        <f t="shared" si="1"/>
        <v>9</v>
      </c>
      <c r="B11" s="5" t="s">
        <v>10</v>
      </c>
      <c r="C11" s="6">
        <f>C6</f>
        <v>0</v>
      </c>
      <c r="D11" s="6">
        <v>-3.2660262596410981</v>
      </c>
      <c r="E11" s="6">
        <f>E6</f>
        <v>1.140615896283117</v>
      </c>
      <c r="F11" s="6">
        <f>F6</f>
        <v>0</v>
      </c>
      <c r="G11" s="6">
        <f>G6</f>
        <v>0</v>
      </c>
      <c r="H11" s="6">
        <f>H6</f>
        <v>0</v>
      </c>
      <c r="I11" s="6">
        <f t="shared" si="0"/>
        <v>-2.1254103633579811</v>
      </c>
    </row>
    <row r="12" spans="1:10" x14ac:dyDescent="0.25">
      <c r="A12" s="4">
        <f t="shared" si="1"/>
        <v>10</v>
      </c>
      <c r="B12" s="5" t="s">
        <v>6</v>
      </c>
      <c r="C12" s="6">
        <v>-8.9535163089010865</v>
      </c>
      <c r="D12" s="6">
        <f t="shared" ref="D12:H13" si="3">D7</f>
        <v>0</v>
      </c>
      <c r="E12" s="6">
        <f t="shared" si="3"/>
        <v>0</v>
      </c>
      <c r="F12" s="6">
        <f>0.378616302304525+0.0185674431579575</f>
        <v>0.39718374546248247</v>
      </c>
      <c r="G12" s="6">
        <f t="shared" si="3"/>
        <v>0.17248679178171991</v>
      </c>
      <c r="H12" s="6">
        <f t="shared" si="3"/>
        <v>3.60143937157854</v>
      </c>
      <c r="I12" s="6">
        <f t="shared" ref="I12:I16" si="4">SUM(C12:H12)</f>
        <v>-4.7824064000783437</v>
      </c>
    </row>
    <row r="13" spans="1:10" x14ac:dyDescent="0.25">
      <c r="A13" s="4">
        <f t="shared" si="1"/>
        <v>11</v>
      </c>
      <c r="B13" s="5" t="s">
        <v>7</v>
      </c>
      <c r="C13" s="6">
        <f>C8</f>
        <v>0</v>
      </c>
      <c r="D13" s="6">
        <f t="shared" si="3"/>
        <v>-6.6996849513604806</v>
      </c>
      <c r="E13" s="6">
        <f t="shared" si="3"/>
        <v>0.97285591230089707</v>
      </c>
      <c r="F13" s="6">
        <v>7.5165244647921778E-2</v>
      </c>
      <c r="G13" s="6">
        <f t="shared" si="3"/>
        <v>4.2102748252720666E-2</v>
      </c>
      <c r="H13" s="6">
        <f t="shared" si="3"/>
        <v>0.4959999613582049</v>
      </c>
      <c r="I13" s="6">
        <f t="shared" si="4"/>
        <v>-5.113561084800736</v>
      </c>
    </row>
    <row r="14" spans="1:10" x14ac:dyDescent="0.25">
      <c r="A14" s="4">
        <f t="shared" si="1"/>
        <v>12</v>
      </c>
      <c r="B14" s="5" t="s">
        <v>8</v>
      </c>
      <c r="C14" s="6">
        <f>C9</f>
        <v>0</v>
      </c>
      <c r="D14" s="6">
        <f t="shared" ref="D14:H16" si="5">D9</f>
        <v>-2.669482202154994</v>
      </c>
      <c r="E14" s="6">
        <f t="shared" si="5"/>
        <v>0.98889583056822283</v>
      </c>
      <c r="F14" s="6">
        <v>0.2866907329022198</v>
      </c>
      <c r="G14" s="6">
        <f t="shared" si="5"/>
        <v>4.6071232317702278E-2</v>
      </c>
      <c r="H14" s="6">
        <f t="shared" si="5"/>
        <v>0</v>
      </c>
      <c r="I14" s="6">
        <f t="shared" si="4"/>
        <v>-1.3478244063668487</v>
      </c>
    </row>
    <row r="15" spans="1:10" x14ac:dyDescent="0.25">
      <c r="A15" s="4">
        <f t="shared" si="1"/>
        <v>13</v>
      </c>
      <c r="B15" s="5" t="s">
        <v>9</v>
      </c>
      <c r="C15" s="6">
        <f>C10</f>
        <v>0</v>
      </c>
      <c r="D15" s="6">
        <f t="shared" si="5"/>
        <v>-3.5858448547988329</v>
      </c>
      <c r="E15" s="6">
        <f t="shared" si="5"/>
        <v>0</v>
      </c>
      <c r="F15" s="6">
        <v>0.46501317748596982</v>
      </c>
      <c r="G15" s="6">
        <f t="shared" si="5"/>
        <v>0</v>
      </c>
      <c r="H15" s="6">
        <f t="shared" si="5"/>
        <v>0</v>
      </c>
      <c r="I15" s="6">
        <f t="shared" si="4"/>
        <v>-3.120831677312863</v>
      </c>
    </row>
    <row r="16" spans="1:10" x14ac:dyDescent="0.25">
      <c r="A16" s="4">
        <f t="shared" si="1"/>
        <v>14</v>
      </c>
      <c r="B16" s="5" t="s">
        <v>10</v>
      </c>
      <c r="C16" s="6">
        <f>C11</f>
        <v>0</v>
      </c>
      <c r="D16" s="6">
        <f t="shared" si="5"/>
        <v>-3.2660262596410981</v>
      </c>
      <c r="E16" s="6">
        <f t="shared" si="5"/>
        <v>1.140615896283117</v>
      </c>
      <c r="F16" s="6">
        <v>0</v>
      </c>
      <c r="G16" s="6">
        <f t="shared" si="5"/>
        <v>0</v>
      </c>
      <c r="H16" s="6">
        <f t="shared" si="5"/>
        <v>0</v>
      </c>
      <c r="I16" s="6">
        <f t="shared" si="4"/>
        <v>-2.1254103633579811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overall_2020</vt:lpstr>
      <vt:lpstr>overall_2050</vt:lpstr>
      <vt:lpstr>overall_combined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2024-09-06T09:15:26Z</dcterms:modified>
</cp:coreProperties>
</file>