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DEC6E945-10B4-4D54-B5CD-5B9435143CAA}" xr6:coauthVersionLast="36" xr6:coauthVersionMax="47" xr10:uidLastSave="{00000000-0000-0000-0000-000000000000}"/>
  <bookViews>
    <workbookView xWindow="0" yWindow="495" windowWidth="21600" windowHeight="8430" xr2:uid="{00000000-000D-0000-FFFF-FFFF00000000}"/>
  </bookViews>
  <sheets>
    <sheet name="overall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3" l="1"/>
  <c r="H4" i="13"/>
  <c r="G4" i="13"/>
  <c r="F4" i="13"/>
  <c r="E4" i="13"/>
  <c r="D4" i="13"/>
  <c r="I5" i="13"/>
  <c r="H5" i="13"/>
  <c r="G5" i="13"/>
  <c r="F5" i="13"/>
  <c r="E5" i="13"/>
  <c r="C5" i="13"/>
  <c r="A3" i="13"/>
  <c r="A4" i="13" s="1"/>
  <c r="A5" i="13" s="1"/>
  <c r="J3" i="13" l="1"/>
  <c r="J2" i="13"/>
  <c r="M2" i="13" l="1"/>
  <c r="L2" i="13"/>
  <c r="M3" i="13"/>
  <c r="L3" i="13"/>
  <c r="J5" i="13"/>
  <c r="J4" i="13"/>
  <c r="M5" i="13" l="1"/>
  <c r="L5" i="13"/>
  <c r="M4" i="13"/>
  <c r="L4" i="13"/>
</calcChain>
</file>

<file path=xl/sharedStrings.xml><?xml version="1.0" encoding="utf-8"?>
<sst xmlns="http://schemas.openxmlformats.org/spreadsheetml/2006/main" count="16" uniqueCount="14">
  <si>
    <t>Electricity</t>
  </si>
  <si>
    <t>Total</t>
  </si>
  <si>
    <t>Scenario</t>
  </si>
  <si>
    <t>Direct emissions</t>
  </si>
  <si>
    <t>Acetylene</t>
  </si>
  <si>
    <t>Ethylene</t>
  </si>
  <si>
    <t>Chlorine or HCl</t>
  </si>
  <si>
    <t>Heating utilities</t>
  </si>
  <si>
    <t>Cooling utilities</t>
  </si>
  <si>
    <t>ATV</t>
  </si>
  <si>
    <t>EBP</t>
  </si>
  <si>
    <t>STDEV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</si>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</sst>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B65D-7EBA-4158-848E-48E37BA8AC0B}">
  <dimension ref="A1:M5"/>
  <sheetViews>
    <sheetView tabSelected="1" zoomScale="160" zoomScaleNormal="160" workbookViewId="0">
      <selection activeCell="I13" sqref="I13"/>
    </sheetView>
  </sheetViews>
  <sheetFormatPr defaultColWidth="8.85546875" defaultRowHeight="15" x14ac:dyDescent="0.25"/>
  <cols>
    <col min="1" max="1" width="3" bestFit="1" customWidth="1"/>
    <col min="2" max="2" width="19.42578125" bestFit="1" customWidth="1"/>
    <col min="3" max="3" width="10" bestFit="1" customWidth="1"/>
    <col min="4" max="4" width="8.85546875" bestFit="1" customWidth="1"/>
    <col min="5" max="5" width="14.42578125" bestFit="1" customWidth="1"/>
    <col min="6" max="6" width="9.7109375" bestFit="1" customWidth="1"/>
    <col min="7" max="7" width="15.28515625" bestFit="1" customWidth="1"/>
    <col min="8" max="8" width="15.140625" bestFit="1" customWidth="1"/>
    <col min="9" max="9" width="15.7109375" bestFit="1" customWidth="1"/>
    <col min="10" max="10" width="5.7109375" bestFit="1" customWidth="1"/>
  </cols>
  <sheetData>
    <row r="1" spans="1:13" x14ac:dyDescent="0.25">
      <c r="B1" s="2" t="s">
        <v>2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8</v>
      </c>
      <c r="I1" s="1" t="s">
        <v>3</v>
      </c>
      <c r="J1" s="1" t="s">
        <v>1</v>
      </c>
      <c r="K1" s="6" t="s">
        <v>11</v>
      </c>
      <c r="L1" s="6" t="s">
        <v>12</v>
      </c>
      <c r="M1" s="6" t="s">
        <v>13</v>
      </c>
    </row>
    <row r="2" spans="1:13" x14ac:dyDescent="0.25">
      <c r="A2" s="3">
        <v>0</v>
      </c>
      <c r="B2" s="4" t="s">
        <v>9</v>
      </c>
      <c r="C2" s="5">
        <v>5.3871358173564676</v>
      </c>
      <c r="D2" s="5">
        <v>0</v>
      </c>
      <c r="E2" s="5">
        <v>0.16997672286579771</v>
      </c>
      <c r="F2" s="5">
        <v>0</v>
      </c>
      <c r="G2" s="5">
        <v>2.7104874028365E-3</v>
      </c>
      <c r="H2" s="5">
        <v>9.1716360262707394E-2</v>
      </c>
      <c r="I2" s="5">
        <v>0</v>
      </c>
      <c r="J2" s="5">
        <f>SUM(C2:I2)</f>
        <v>5.6515393878878095</v>
      </c>
      <c r="K2" s="7">
        <v>0.25568240567843753</v>
      </c>
      <c r="L2" s="7">
        <f>J2-2*K2</f>
        <v>5.1401745765309341</v>
      </c>
      <c r="M2" s="7">
        <f>J2+2*K2</f>
        <v>6.1629041992446849</v>
      </c>
    </row>
    <row r="3" spans="1:13" x14ac:dyDescent="0.25">
      <c r="A3" s="3">
        <f>A2+1</f>
        <v>1</v>
      </c>
      <c r="B3" s="4" t="s">
        <v>10</v>
      </c>
      <c r="C3" s="5">
        <v>0</v>
      </c>
      <c r="D3" s="5">
        <v>1.110494651246964</v>
      </c>
      <c r="E3" s="5">
        <v>0.5887738959125598</v>
      </c>
      <c r="F3" s="5">
        <v>1.6298606584190811E-2</v>
      </c>
      <c r="G3" s="5">
        <v>0.1697621057566015</v>
      </c>
      <c r="H3" s="5">
        <v>0.44460051577339821</v>
      </c>
      <c r="I3" s="5">
        <v>1.8000024375616871E-2</v>
      </c>
      <c r="J3" s="5">
        <f>SUM(C3:I3)</f>
        <v>2.3479297996493314</v>
      </c>
      <c r="K3" s="7">
        <v>0.18798304238775798</v>
      </c>
      <c r="L3" s="7">
        <f t="shared" ref="L3:L5" si="0">J3-2*K3</f>
        <v>1.9719637148738154</v>
      </c>
      <c r="M3" s="7">
        <f t="shared" ref="M3:M5" si="1">J3+2*K3</f>
        <v>2.7238958844248473</v>
      </c>
    </row>
    <row r="4" spans="1:13" x14ac:dyDescent="0.25">
      <c r="A4" s="3">
        <f t="shared" ref="A4:A5" si="2">A3+1</f>
        <v>2</v>
      </c>
      <c r="B4" s="4" t="s">
        <v>9</v>
      </c>
      <c r="C4" s="5">
        <v>1.412811554873044</v>
      </c>
      <c r="D4" s="5">
        <f>D2</f>
        <v>0</v>
      </c>
      <c r="E4" s="5">
        <f t="shared" ref="E4:I4" si="3">E2</f>
        <v>0.16997672286579771</v>
      </c>
      <c r="F4" s="5">
        <f t="shared" si="3"/>
        <v>0</v>
      </c>
      <c r="G4" s="5">
        <f t="shared" si="3"/>
        <v>2.7104874028365E-3</v>
      </c>
      <c r="H4" s="5">
        <f t="shared" si="3"/>
        <v>9.1716360262707394E-2</v>
      </c>
      <c r="I4" s="5">
        <f t="shared" si="3"/>
        <v>0</v>
      </c>
      <c r="J4" s="5">
        <f>SUM(C4:I4)</f>
        <v>1.6772151254043857</v>
      </c>
      <c r="K4" s="7">
        <v>0.33680620248025078</v>
      </c>
      <c r="L4" s="7">
        <f t="shared" si="0"/>
        <v>1.003602720443884</v>
      </c>
      <c r="M4" s="7">
        <f t="shared" si="1"/>
        <v>2.3508275303648873</v>
      </c>
    </row>
    <row r="5" spans="1:13" x14ac:dyDescent="0.25">
      <c r="A5" s="3">
        <f t="shared" si="2"/>
        <v>3</v>
      </c>
      <c r="B5" s="4" t="s">
        <v>10</v>
      </c>
      <c r="C5" s="5">
        <f>C3</f>
        <v>0</v>
      </c>
      <c r="D5" s="5">
        <v>-0.45300000000000001</v>
      </c>
      <c r="E5" s="5">
        <f>E3</f>
        <v>0.5887738959125598</v>
      </c>
      <c r="F5" s="5">
        <f>F3</f>
        <v>1.6298606584190811E-2</v>
      </c>
      <c r="G5" s="5">
        <f>G3</f>
        <v>0.1697621057566015</v>
      </c>
      <c r="H5" s="5">
        <f>H3</f>
        <v>0.44460051577339821</v>
      </c>
      <c r="I5" s="5">
        <f>I3</f>
        <v>1.8000024375616871E-2</v>
      </c>
      <c r="J5" s="5">
        <f>SUM(C5:I5)</f>
        <v>0.78443514840236717</v>
      </c>
      <c r="K5" s="7">
        <v>7.8872198942799246E-2</v>
      </c>
      <c r="L5" s="7">
        <f t="shared" si="0"/>
        <v>0.6266907505167687</v>
      </c>
      <c r="M5" s="7">
        <f t="shared" si="1"/>
        <v>0.94217954628796563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2024-09-06T09:15:23Z</dcterms:modified>
</cp:coreProperties>
</file>