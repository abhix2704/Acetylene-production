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Side projects\Acetylene production\data\"/>
    </mc:Choice>
  </mc:AlternateContent>
  <xr:revisionPtr revIDLastSave="0" documentId="13_ncr:1_{9A3B865B-4653-4AB7-8907-C8B94FCBB779}" xr6:coauthVersionLast="36" xr6:coauthVersionMax="47" xr10:uidLastSave="{00000000-0000-0000-0000-000000000000}"/>
  <bookViews>
    <workbookView xWindow="0" yWindow="495" windowWidth="14400" windowHeight="4110" activeTab="6" xr2:uid="{79F87D26-5407-4579-9D8D-FA563FE5FD90}"/>
  </bookViews>
  <sheets>
    <sheet name="calcium_carbide" sheetId="14" r:id="rId1"/>
    <sheet name="partial_oxidation" sheetId="25" r:id="rId2"/>
    <sheet name="hot_plasma" sheetId="26" r:id="rId3"/>
    <sheet name="cold_plasma" sheetId="27" r:id="rId4"/>
    <sheet name="thernal_pyrolysis" sheetId="28" r:id="rId5"/>
    <sheet name="ethylene_vcm" sheetId="29" r:id="rId6"/>
    <sheet name="acetylene_vcm" sheetId="30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7" i="30" l="1"/>
  <c r="C12" i="30"/>
  <c r="C35" i="29"/>
  <c r="C34" i="29"/>
  <c r="C16" i="29"/>
  <c r="C17" i="29"/>
  <c r="C46" i="29"/>
  <c r="C47" i="29"/>
  <c r="C48" i="29"/>
  <c r="C49" i="29"/>
  <c r="C28" i="26" l="1"/>
  <c r="C29" i="25"/>
  <c r="C182" i="14" l="1"/>
  <c r="C46" i="28" l="1"/>
  <c r="C10" i="28"/>
  <c r="C10" i="27" l="1"/>
  <c r="C163" i="14"/>
  <c r="C13" i="14" l="1"/>
</calcChain>
</file>

<file path=xl/sharedStrings.xml><?xml version="1.0" encoding="utf-8"?>
<sst xmlns="http://schemas.openxmlformats.org/spreadsheetml/2006/main" count="2233" uniqueCount="224">
  <si>
    <t>Activity</t>
  </si>
  <si>
    <t>comment</t>
  </si>
  <si>
    <t>location</t>
  </si>
  <si>
    <t>GLO</t>
  </si>
  <si>
    <t>production amount</t>
  </si>
  <si>
    <t>reference product</t>
  </si>
  <si>
    <t>unit</t>
  </si>
  <si>
    <t>kilogram</t>
  </si>
  <si>
    <t>Exchanges</t>
  </si>
  <si>
    <t>name</t>
  </si>
  <si>
    <t>amount</t>
  </si>
  <si>
    <t>database</t>
  </si>
  <si>
    <t>categories</t>
  </si>
  <si>
    <t>type</t>
  </si>
  <si>
    <t>production</t>
  </si>
  <si>
    <t>RoW</t>
  </si>
  <si>
    <t>technosphere</t>
  </si>
  <si>
    <t>cubic meter</t>
  </si>
  <si>
    <t>Carbon dioxide, fossil</t>
  </si>
  <si>
    <t>biosphere</t>
  </si>
  <si>
    <t>Nitrogen oxides</t>
  </si>
  <si>
    <t>air</t>
  </si>
  <si>
    <t>Database</t>
  </si>
  <si>
    <t>megajoule</t>
  </si>
  <si>
    <t>electricity, high voltage</t>
  </si>
  <si>
    <t>market group for electricity, high voltage</t>
  </si>
  <si>
    <t>kilowatt hour</t>
  </si>
  <si>
    <t>water, deionised</t>
  </si>
  <si>
    <t>market for steam, in chemical industry</t>
  </si>
  <si>
    <t>steam, in chemical industry</t>
  </si>
  <si>
    <t>natural gas, high pressure</t>
  </si>
  <si>
    <t>market group for natural gas, high pressure</t>
  </si>
  <si>
    <t>sodium hydroxide, without water, in 50% solution state</t>
  </si>
  <si>
    <t>market for sodium hydroxide, without water, in 50% solution state</t>
  </si>
  <si>
    <t>ecoinvent-3.10-biosphere</t>
  </si>
  <si>
    <t>market for water, deionised</t>
  </si>
  <si>
    <t>NMVOC, non-methane volatile organic compounds</t>
  </si>
  <si>
    <t>Zhang et al., DOI: https://doi.org/10.1016/j.jclepro.2021.129055</t>
  </si>
  <si>
    <t>acetylene-production-Base-2020</t>
  </si>
  <si>
    <t>ecoinvent-3.10-cutoff-Base-2020</t>
  </si>
  <si>
    <t>market for coke</t>
  </si>
  <si>
    <t>coke</t>
  </si>
  <si>
    <t>market for limestone, unprocessed</t>
  </si>
  <si>
    <t>limestone, unprocessed</t>
  </si>
  <si>
    <t>market for compressed air, 800 kPa gauge</t>
  </si>
  <si>
    <t>compressed air, 800 kPa gauge</t>
  </si>
  <si>
    <t>market for nitrogen, liquid</t>
  </si>
  <si>
    <t>nitrogen, liquid</t>
  </si>
  <si>
    <t>Particulate Matter, &gt; 2.5 um and &lt; 10um</t>
  </si>
  <si>
    <t>market for sodium hypochlorite, without water, in 15% solution state</t>
  </si>
  <si>
    <t>sodium hypochlorite, without water, in 15% solution state</t>
  </si>
  <si>
    <t xml:space="preserve">VOC, volatile organic compounds </t>
  </si>
  <si>
    <t>market for N-methyl-2-pyrrolidone</t>
  </si>
  <si>
    <t>N-methyl-2-pyrrolidone</t>
  </si>
  <si>
    <t>acetylene production, natural gas, partial oxidation</t>
  </si>
  <si>
    <t>acetylene, natural gas, partial oxidation</t>
  </si>
  <si>
    <t>acetylene, biomethane, partial oxidation</t>
  </si>
  <si>
    <t>acetylene production, biomethane, partial oxidation</t>
  </si>
  <si>
    <t>biomethane production, from biogas upgrading, using amine scrubbing</t>
  </si>
  <si>
    <t>World</t>
  </si>
  <si>
    <t>acetylene production, natural gas, hot plasma</t>
  </si>
  <si>
    <t>acetylene, natural gas, hot plasma</t>
  </si>
  <si>
    <t>acetylene production, biomethane, hot plasma</t>
  </si>
  <si>
    <t>acetylene, biomethane, hot plasma</t>
  </si>
  <si>
    <t>biomethane, from biogas upgrading, using amine scrubbing</t>
  </si>
  <si>
    <t>acetylene production, coal, calcium carbide</t>
  </si>
  <si>
    <t>acetylene, coal, calcium carbide</t>
  </si>
  <si>
    <t>acetylene production, biochar, calcium carbide</t>
  </si>
  <si>
    <t>acetylene, biochar, calcium carbide</t>
  </si>
  <si>
    <t>calcium carbide production, coal</t>
  </si>
  <si>
    <t>calcium carbide, coal</t>
  </si>
  <si>
    <t>calcium carbide production, biochar</t>
  </si>
  <si>
    <t>calcium carbide, biochar</t>
  </si>
  <si>
    <t>poplar chips, 50 wt% moisture</t>
  </si>
  <si>
    <t>transport, tractor and trailer, agricultural</t>
  </si>
  <si>
    <t>ton kilometer</t>
  </si>
  <si>
    <t>irrigation</t>
  </si>
  <si>
    <t>market group for irrigation</t>
  </si>
  <si>
    <t>ammonium nitrate</t>
  </si>
  <si>
    <t>ammonium nitrate production</t>
  </si>
  <si>
    <t>inorganic phosphorus fertiliser, as P2O5</t>
  </si>
  <si>
    <t>nutrient supply from triple superphosphate</t>
  </si>
  <si>
    <t>potassium chloride</t>
  </si>
  <si>
    <t>potassium chloride production</t>
  </si>
  <si>
    <t>glyphosate</t>
  </si>
  <si>
    <t>glyphosate production</t>
  </si>
  <si>
    <t>pyridine-compound</t>
  </si>
  <si>
    <t>pyridine-compound production</t>
  </si>
  <si>
    <t>dithiocarbamate-compound</t>
  </si>
  <si>
    <t>dithiocarbamate-compound production</t>
  </si>
  <si>
    <t>tree seedling, for planting</t>
  </si>
  <si>
    <t>tree seedling production, in unheated greenhouse</t>
  </si>
  <si>
    <t>tillage, ploughing</t>
  </si>
  <si>
    <t>hectare</t>
  </si>
  <si>
    <t>mowing, by rotary mower</t>
  </si>
  <si>
    <t>tillage, rotary cultivator</t>
  </si>
  <si>
    <t>planting</t>
  </si>
  <si>
    <t>tillage, currying, by weeder</t>
  </si>
  <si>
    <t>application of plant protection product, by field sprayer</t>
  </si>
  <si>
    <t>fertilising, by broadcaster</t>
  </si>
  <si>
    <t>combine harvesting</t>
  </si>
  <si>
    <t>hoeing</t>
  </si>
  <si>
    <t>harvesting, by complete harvester, beets</t>
  </si>
  <si>
    <t>Occupation, arable land, unspecified use</t>
  </si>
  <si>
    <t>square meter-year</t>
  </si>
  <si>
    <t>natural resource::land</t>
  </si>
  <si>
    <t>Carbon dioxide, in air</t>
  </si>
  <si>
    <t>natural resource::in air</t>
  </si>
  <si>
    <t>Transformation, from arable land, unspecified use</t>
  </si>
  <si>
    <t>square meter</t>
  </si>
  <si>
    <t>Transformation, to arable land, unspecified use</t>
  </si>
  <si>
    <t>Ammonia</t>
  </si>
  <si>
    <t>Dinitrogen monoxide</t>
  </si>
  <si>
    <t>Carbon dioxide, land transformation</t>
  </si>
  <si>
    <t>Nitrate</t>
  </si>
  <si>
    <t>water::ground-</t>
  </si>
  <si>
    <t>Phosphorus</t>
  </si>
  <si>
    <t>water::surface water</t>
  </si>
  <si>
    <t>Phosphate</t>
  </si>
  <si>
    <t>Cadmium II</t>
  </si>
  <si>
    <t>Chromium VI</t>
  </si>
  <si>
    <t>Lead II</t>
  </si>
  <si>
    <t>Nickel II</t>
  </si>
  <si>
    <t>Zinc II</t>
  </si>
  <si>
    <t>Copper ion</t>
  </si>
  <si>
    <t>soil</t>
  </si>
  <si>
    <t>Glyphosate</t>
  </si>
  <si>
    <t>soil::agricultural</t>
  </si>
  <si>
    <t>Potassium I</t>
  </si>
  <si>
    <t>market for biochar</t>
  </si>
  <si>
    <t>biochar</t>
  </si>
  <si>
    <t>market group for tap water</t>
  </si>
  <si>
    <t>tap water</t>
  </si>
  <si>
    <t>market for transport, freight, lorry 7.5-16 metric ton, EURO5</t>
  </si>
  <si>
    <t>transport, freight, lorry 7.5-16 metric ton, EURO5</t>
  </si>
  <si>
    <t>market for fly ash and scrubber sludge</t>
  </si>
  <si>
    <t>fly ash and scrubber sludge</t>
  </si>
  <si>
    <t>heat production, natural gas, at industrial furnace &gt;100kW</t>
  </si>
  <si>
    <t>heat, district or industrial, natural gas</t>
  </si>
  <si>
    <t>Carbon monoxide, fossil</t>
  </si>
  <si>
    <t>Sulfur dioxide</t>
  </si>
  <si>
    <t>Hydrogen</t>
  </si>
  <si>
    <t>Chlorine</t>
  </si>
  <si>
    <t>Particulate Matter, &lt; 2.5 um</t>
  </si>
  <si>
    <t>Aluminium III</t>
  </si>
  <si>
    <t>Boron</t>
  </si>
  <si>
    <t>Iron ion</t>
  </si>
  <si>
    <t>Magnesium</t>
  </si>
  <si>
    <t>Manganese II</t>
  </si>
  <si>
    <t>Calcium II</t>
  </si>
  <si>
    <t>Sodium I</t>
  </si>
  <si>
    <t>acetylene production, natural gas, cold plasma</t>
  </si>
  <si>
    <t>acetylene production, biomethane, cold plasma</t>
  </si>
  <si>
    <t>acetylene, natural gas, cold plasma</t>
  </si>
  <si>
    <t>acetylene, biomethane, cold plasma</t>
  </si>
  <si>
    <t>acetylene production, natural gas, thermal pyrolysis</t>
  </si>
  <si>
    <t>acetylene, natural gas, thermal pyrolysis</t>
  </si>
  <si>
    <t>acetylene production, biomethane, thermal pyrolysis</t>
  </si>
  <si>
    <t>acetylene, biomethane, thermal pyrolysis</t>
  </si>
  <si>
    <t>D'Angelo et al., DOI: https://doi.org/10.1021/acssuschemeng.1c01915</t>
  </si>
  <si>
    <t>Peters et al., DOI: https://doi.org/10.1021/es5060786</t>
  </si>
  <si>
    <t>Yao et al., DOI: https://doi.org/10.1016/S0920-5861(01)00432-1</t>
  </si>
  <si>
    <t>heat production, natural gas, at boiler condensing modulating &gt;100kW</t>
  </si>
  <si>
    <t>heat from biomethane</t>
  </si>
  <si>
    <t>Ecoinvent v3.10 heat production from natural gas inventory, replacing with biomethane</t>
  </si>
  <si>
    <t>industrial furnace, natural gas</t>
  </si>
  <si>
    <t>market for industrial furnace, natural gas</t>
  </si>
  <si>
    <t>Acetaldehyde</t>
  </si>
  <si>
    <t>air::urban air close to ground</t>
  </si>
  <si>
    <t>Acetic acid</t>
  </si>
  <si>
    <t>Benzene</t>
  </si>
  <si>
    <t>Benzo(a)pyrene</t>
  </si>
  <si>
    <t>Butane</t>
  </si>
  <si>
    <t>Carbon dioxide, non-fossil</t>
  </si>
  <si>
    <t>Carbon monoxide, non-fossil</t>
  </si>
  <si>
    <t>Dioxins, measured as 2,3,7,8-tetrachlorodibenzo-p-dioxin</t>
  </si>
  <si>
    <t>Formaldehyde</t>
  </si>
  <si>
    <t>Mercury II</t>
  </si>
  <si>
    <t>Methane, non-fossil</t>
  </si>
  <si>
    <t>PAH, polycyclic aromatic hydrocarbons</t>
  </si>
  <si>
    <t>Pentane</t>
  </si>
  <si>
    <t>Propane</t>
  </si>
  <si>
    <t>Propionic acid</t>
  </si>
  <si>
    <t>Toluene</t>
  </si>
  <si>
    <t>market for biochar, wind electricity</t>
  </si>
  <si>
    <t xml:space="preserve">electricity, high voltage </t>
  </si>
  <si>
    <t>electricity production, wind, &gt;3MW turbine, onshore</t>
  </si>
  <si>
    <t xml:space="preserve">kilowatt hour </t>
  </si>
  <si>
    <t>calcium carbide production, biochar, wind electricity</t>
  </si>
  <si>
    <t>acetylene production, biochar, calcium carbide, wind electricity</t>
  </si>
  <si>
    <t>acetylene, biochar, calcium carbide, wind eletcricity</t>
  </si>
  <si>
    <t>calcium carbide, biochar, wind electricity</t>
  </si>
  <si>
    <t>biochar, wind electricity</t>
  </si>
  <si>
    <t>acetylene production, biomethane, partial oxidation, wind electricity</t>
  </si>
  <si>
    <t>acetylene, biomethane, partial oxidation, wind electricity</t>
  </si>
  <si>
    <t>acetylene production, biomethane, hot plasma, wind electricity</t>
  </si>
  <si>
    <t>acetylene, biomethane, hot plasma, wind electricity</t>
  </si>
  <si>
    <t>acetylene production, biomethane, cold plasma, wind electricity</t>
  </si>
  <si>
    <t>acetylene, biomethane, cold plasma, wind electricity</t>
  </si>
  <si>
    <t>acetylene production, biomethane, thermal pyrolysis, wind electricity</t>
  </si>
  <si>
    <t>acetylene, biomethane, thermal pyrolysis, wind electricity</t>
  </si>
  <si>
    <t>Xie et al., DOI: https://doi.org/10.1021/acscatal.8b00004</t>
  </si>
  <si>
    <t>vinyl chloride monomer production, fossil ethylene</t>
  </si>
  <si>
    <t>DOI: https://pubs.acs.org/doi/10.1021/acssuschemeng.3c03006</t>
  </si>
  <si>
    <t>vinyl chloride monomer, fossil ethylene</t>
  </si>
  <si>
    <t>market for ethylene</t>
  </si>
  <si>
    <t>ethylene</t>
  </si>
  <si>
    <t>market for chlorine, gaseous</t>
  </si>
  <si>
    <t>chlorine, gaseous</t>
  </si>
  <si>
    <t>refrigeration, -50C</t>
  </si>
  <si>
    <t>Water</t>
  </si>
  <si>
    <t>water</t>
  </si>
  <si>
    <t>market for tap water</t>
  </si>
  <si>
    <t>vinyl chloride monomer production, bio ethylene</t>
  </si>
  <si>
    <t>vinyl chloride monomer, bio ethylene</t>
  </si>
  <si>
    <t>market for bio ethylene</t>
  </si>
  <si>
    <t>bio ethylene</t>
  </si>
  <si>
    <t>refrigeration, -25C</t>
  </si>
  <si>
    <t>vinyl chloride monomer production, fossil acetylene</t>
  </si>
  <si>
    <t>vinyl chloride monomer production, bio acetylene</t>
  </si>
  <si>
    <t>vinyl chloride monomer, fossil acetylene</t>
  </si>
  <si>
    <t>vinyl chloride monomer, bio acetylene</t>
  </si>
  <si>
    <t>market for hydrochloric acid, without water, in 30% solution state</t>
  </si>
  <si>
    <t>hydrochloric acid, without water, in 30% solution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</si>
</sst>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E+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7"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0" borderId="0" xfId="0" applyFont="1"/>
    <xf numFmtId="0" fontId="4" fillId="3" borderId="0" xfId="1" applyFont="1" applyFill="1"/>
    <xf numFmtId="0" fontId="3" fillId="3" borderId="0" xfId="1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4" fontId="0" fillId="0" borderId="0" xfId="0" applyNumberFormat="1" applyFont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Fill="1"/>
    <xf numFmtId="0" fontId="0" fillId="0" borderId="0" xfId="0" applyFill="1"/>
    <xf numFmtId="165" fontId="1" fillId="0" borderId="0" xfId="0" applyNumberFormat="1" applyFont="1" applyFill="1" applyAlignment="1">
      <alignment horizontal="center"/>
    </xf>
    <xf numFmtId="164" fontId="0" fillId="0" borderId="0" xfId="0" applyNumberFormat="1" applyFont="1" applyFill="1" applyAlignment="1">
      <alignment horizontal="left"/>
    </xf>
    <xf numFmtId="0" fontId="2" fillId="0" borderId="0" xfId="0" applyFont="1" applyAlignment="1">
      <alignment horizontal="left"/>
    </xf>
    <xf numFmtId="166" fontId="1" fillId="0" borderId="0" xfId="0" applyNumberFormat="1" applyFont="1" applyAlignment="1">
      <alignment horizontal="center"/>
    </xf>
    <xf numFmtId="0" fontId="1" fillId="0" borderId="0" xfId="0" applyFont="1" applyFill="1"/>
    <xf numFmtId="165" fontId="0" fillId="0" borderId="0" xfId="0" applyNumberFormat="1" applyFill="1" applyAlignment="1">
      <alignment horizontal="center"/>
    </xf>
    <xf numFmtId="0" fontId="3" fillId="0" borderId="0" xfId="1" applyFont="1"/>
  </cellXfs>
  <cellStyles count="3">
    <cellStyle name="Normal" xfId="0" builtinId="0"/>
    <cellStyle name="Normal 11" xfId="1" xr:uid="{D5C3E5E0-2437-4066-8988-DB8BCB10E055}"/>
    <cellStyle name="Normal 2" xfId="2" xr:uid="{A1DF0082-2011-4488-98FF-AECE10E39A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92C32-C4F6-41C6-855E-97A9929F367E}">
  <dimension ref="A1:I241"/>
  <sheetViews>
    <sheetView topLeftCell="A187" zoomScaleNormal="100" workbookViewId="0">
      <selection activeCell="D217" sqref="D217:H217"/>
    </sheetView>
  </sheetViews>
  <sheetFormatPr defaultRowHeight="15" x14ac:dyDescent="0.25"/>
  <cols>
    <col min="1" max="1" width="53.5703125" bestFit="1" customWidth="1"/>
    <col min="2" max="2" width="63.7109375" bestFit="1" customWidth="1"/>
    <col min="3" max="3" width="8" bestFit="1" customWidth="1"/>
    <col min="4" max="4" width="17.7109375" bestFit="1" customWidth="1"/>
    <col min="5" max="5" width="8.140625" bestFit="1" customWidth="1"/>
    <col min="6" max="6" width="21.42578125" bestFit="1" customWidth="1"/>
    <col min="7" max="7" width="30.42578125" bestFit="1" customWidth="1"/>
    <col min="8" max="8" width="13.42578125" bestFit="1" customWidth="1"/>
    <col min="11" max="11" width="14.5703125" bestFit="1" customWidth="1"/>
  </cols>
  <sheetData>
    <row r="1" spans="1:8" x14ac:dyDescent="0.25">
      <c r="A1" s="4" t="s">
        <v>22</v>
      </c>
      <c r="B1" s="4" t="s">
        <v>38</v>
      </c>
      <c r="C1" s="15"/>
      <c r="D1" s="5"/>
      <c r="E1" s="5"/>
      <c r="F1" s="5"/>
      <c r="G1" s="5"/>
      <c r="H1" s="5"/>
    </row>
    <row r="2" spans="1:8" x14ac:dyDescent="0.25">
      <c r="A2" s="2"/>
      <c r="B2" s="2"/>
      <c r="C2" s="14"/>
      <c r="D2" s="2"/>
      <c r="E2" s="2"/>
      <c r="F2" s="2"/>
      <c r="G2" s="2"/>
      <c r="H2" s="2"/>
    </row>
    <row r="3" spans="1:8" x14ac:dyDescent="0.25">
      <c r="A3" s="18" t="s">
        <v>0</v>
      </c>
      <c r="B3" s="17" t="s">
        <v>69</v>
      </c>
      <c r="C3" s="13"/>
      <c r="D3" s="3"/>
      <c r="E3" s="3"/>
      <c r="F3" s="3"/>
      <c r="G3" s="3"/>
      <c r="H3" s="3"/>
    </row>
    <row r="4" spans="1:8" x14ac:dyDescent="0.25">
      <c r="A4" s="3" t="s">
        <v>1</v>
      </c>
      <c r="B4" s="6" t="s">
        <v>37</v>
      </c>
      <c r="C4" s="13"/>
      <c r="D4" s="3"/>
      <c r="E4" s="3"/>
      <c r="F4" s="3"/>
      <c r="G4" s="3"/>
      <c r="H4" s="3"/>
    </row>
    <row r="5" spans="1:8" x14ac:dyDescent="0.25">
      <c r="A5" s="3" t="s">
        <v>2</v>
      </c>
      <c r="B5" t="s">
        <v>3</v>
      </c>
      <c r="C5" s="13"/>
      <c r="D5" s="3"/>
      <c r="E5" s="3"/>
      <c r="F5" s="3"/>
      <c r="G5" s="3"/>
      <c r="H5" s="3"/>
    </row>
    <row r="6" spans="1:8" x14ac:dyDescent="0.25">
      <c r="A6" s="3" t="s">
        <v>4</v>
      </c>
      <c r="B6" s="8">
        <v>1</v>
      </c>
      <c r="C6" s="13"/>
      <c r="D6" s="3"/>
      <c r="E6" s="3"/>
      <c r="F6" s="3"/>
      <c r="G6" s="3"/>
      <c r="H6" s="3"/>
    </row>
    <row r="7" spans="1:8" x14ac:dyDescent="0.25">
      <c r="A7" s="3" t="s">
        <v>5</v>
      </c>
      <c r="B7" t="s">
        <v>70</v>
      </c>
      <c r="C7" s="13"/>
      <c r="D7" s="3"/>
      <c r="E7" s="3"/>
      <c r="F7" s="3"/>
      <c r="G7" s="3"/>
      <c r="H7" s="3"/>
    </row>
    <row r="8" spans="1:8" x14ac:dyDescent="0.25">
      <c r="A8" s="3" t="s">
        <v>6</v>
      </c>
      <c r="B8" t="s">
        <v>7</v>
      </c>
      <c r="C8" s="13"/>
      <c r="D8" s="3"/>
      <c r="E8" s="3"/>
      <c r="F8" s="3"/>
      <c r="G8" s="3"/>
      <c r="H8" s="3"/>
    </row>
    <row r="9" spans="1:8" x14ac:dyDescent="0.25">
      <c r="A9" s="1" t="s">
        <v>8</v>
      </c>
      <c r="B9" s="3"/>
      <c r="C9" s="13"/>
      <c r="D9" s="3"/>
      <c r="E9" s="3"/>
      <c r="F9" s="3"/>
      <c r="G9" s="3"/>
      <c r="H9" s="3"/>
    </row>
    <row r="10" spans="1:8" x14ac:dyDescent="0.25">
      <c r="A10" s="7" t="s">
        <v>5</v>
      </c>
      <c r="B10" s="6" t="s">
        <v>9</v>
      </c>
      <c r="C10" s="9" t="s">
        <v>10</v>
      </c>
      <c r="D10" s="6" t="s">
        <v>6</v>
      </c>
      <c r="E10" s="6" t="s">
        <v>2</v>
      </c>
      <c r="F10" s="6" t="s">
        <v>12</v>
      </c>
      <c r="G10" s="6" t="s">
        <v>11</v>
      </c>
      <c r="H10" s="7" t="s">
        <v>13</v>
      </c>
    </row>
    <row r="11" spans="1:8" x14ac:dyDescent="0.25">
      <c r="A11" t="s">
        <v>70</v>
      </c>
      <c r="B11" t="s">
        <v>69</v>
      </c>
      <c r="C11" s="10">
        <v>1</v>
      </c>
      <c r="D11" t="s">
        <v>7</v>
      </c>
      <c r="E11" t="s">
        <v>3</v>
      </c>
      <c r="G11" s="16" t="s">
        <v>38</v>
      </c>
      <c r="H11" t="s">
        <v>14</v>
      </c>
    </row>
    <row r="12" spans="1:8" x14ac:dyDescent="0.25">
      <c r="A12" t="s">
        <v>43</v>
      </c>
      <c r="B12" t="s">
        <v>42</v>
      </c>
      <c r="C12" s="9">
        <v>1.613</v>
      </c>
      <c r="D12" t="s">
        <v>7</v>
      </c>
      <c r="E12" t="s">
        <v>15</v>
      </c>
      <c r="G12" s="16" t="s">
        <v>39</v>
      </c>
      <c r="H12" t="s">
        <v>16</v>
      </c>
    </row>
    <row r="13" spans="1:8" x14ac:dyDescent="0.25">
      <c r="A13" t="s">
        <v>41</v>
      </c>
      <c r="B13" t="s">
        <v>40</v>
      </c>
      <c r="C13" s="11">
        <f>26*0.645</f>
        <v>16.77</v>
      </c>
      <c r="D13" t="s">
        <v>23</v>
      </c>
      <c r="E13" t="s">
        <v>15</v>
      </c>
      <c r="G13" s="16" t="s">
        <v>39</v>
      </c>
      <c r="H13" t="s">
        <v>16</v>
      </c>
    </row>
    <row r="14" spans="1:8" x14ac:dyDescent="0.25">
      <c r="A14" t="s">
        <v>24</v>
      </c>
      <c r="B14" t="s">
        <v>25</v>
      </c>
      <c r="C14" s="11">
        <v>3.3224838709677398</v>
      </c>
      <c r="D14" t="s">
        <v>26</v>
      </c>
      <c r="E14" t="s">
        <v>3</v>
      </c>
      <c r="G14" s="16" t="s">
        <v>39</v>
      </c>
      <c r="H14" t="s">
        <v>16</v>
      </c>
    </row>
    <row r="15" spans="1:8" x14ac:dyDescent="0.25">
      <c r="A15" t="s">
        <v>27</v>
      </c>
      <c r="B15" t="s">
        <v>35</v>
      </c>
      <c r="C15" s="11">
        <v>2.032258064516129</v>
      </c>
      <c r="D15" t="s">
        <v>7</v>
      </c>
      <c r="E15" t="s">
        <v>15</v>
      </c>
      <c r="G15" s="16" t="s">
        <v>39</v>
      </c>
      <c r="H15" t="s">
        <v>16</v>
      </c>
    </row>
    <row r="16" spans="1:8" x14ac:dyDescent="0.25">
      <c r="A16" t="s">
        <v>45</v>
      </c>
      <c r="B16" t="s">
        <v>44</v>
      </c>
      <c r="C16" s="11">
        <v>5.425806451612903E-2</v>
      </c>
      <c r="D16" t="s">
        <v>17</v>
      </c>
      <c r="E16" t="s">
        <v>15</v>
      </c>
      <c r="G16" s="16" t="s">
        <v>39</v>
      </c>
      <c r="H16" t="s">
        <v>16</v>
      </c>
    </row>
    <row r="17" spans="1:8" x14ac:dyDescent="0.25">
      <c r="A17" t="s">
        <v>47</v>
      </c>
      <c r="B17" t="s">
        <v>46</v>
      </c>
      <c r="C17" s="11">
        <v>0</v>
      </c>
      <c r="D17" t="s">
        <v>7</v>
      </c>
      <c r="E17" t="s">
        <v>15</v>
      </c>
      <c r="G17" s="16" t="s">
        <v>39</v>
      </c>
      <c r="H17" t="s">
        <v>16</v>
      </c>
    </row>
    <row r="18" spans="1:8" x14ac:dyDescent="0.25">
      <c r="B18" t="s">
        <v>48</v>
      </c>
      <c r="C18" s="12">
        <v>1.6299999999999998E-4</v>
      </c>
      <c r="D18" t="s">
        <v>7</v>
      </c>
      <c r="F18" t="s">
        <v>21</v>
      </c>
      <c r="G18" s="16" t="s">
        <v>34</v>
      </c>
      <c r="H18" t="s">
        <v>19</v>
      </c>
    </row>
    <row r="19" spans="1:8" x14ac:dyDescent="0.25">
      <c r="B19" t="s">
        <v>20</v>
      </c>
      <c r="C19" s="12">
        <v>4.5293548387096772E-4</v>
      </c>
      <c r="D19" t="s">
        <v>7</v>
      </c>
      <c r="F19" t="s">
        <v>21</v>
      </c>
      <c r="G19" s="16" t="s">
        <v>34</v>
      </c>
      <c r="H19" t="s">
        <v>19</v>
      </c>
    </row>
    <row r="20" spans="1:8" x14ac:dyDescent="0.25">
      <c r="B20" t="s">
        <v>18</v>
      </c>
      <c r="C20" s="11">
        <v>1.1612903225806452</v>
      </c>
      <c r="D20" t="s">
        <v>7</v>
      </c>
      <c r="F20" t="s">
        <v>21</v>
      </c>
      <c r="G20" s="16" t="s">
        <v>34</v>
      </c>
      <c r="H20" t="s">
        <v>19</v>
      </c>
    </row>
    <row r="21" spans="1:8" x14ac:dyDescent="0.25">
      <c r="A21" s="2"/>
      <c r="B21" s="2"/>
      <c r="C21" s="14"/>
      <c r="D21" s="2"/>
      <c r="E21" s="2"/>
      <c r="F21" s="2"/>
      <c r="G21" s="2"/>
      <c r="H21" s="2"/>
    </row>
    <row r="22" spans="1:8" x14ac:dyDescent="0.25">
      <c r="A22" s="1" t="s">
        <v>0</v>
      </c>
      <c r="B22" s="22" t="s">
        <v>73</v>
      </c>
      <c r="C22" s="13"/>
      <c r="D22" s="3"/>
      <c r="E22" s="3"/>
      <c r="F22" s="3"/>
      <c r="G22" s="3"/>
      <c r="H22" s="3"/>
    </row>
    <row r="23" spans="1:8" x14ac:dyDescent="0.25">
      <c r="A23" s="3" t="s">
        <v>1</v>
      </c>
      <c r="B23" s="6" t="s">
        <v>159</v>
      </c>
      <c r="C23" s="13"/>
      <c r="D23" s="3"/>
      <c r="E23" s="3"/>
      <c r="F23" s="3"/>
      <c r="G23" s="3"/>
      <c r="H23" s="3"/>
    </row>
    <row r="24" spans="1:8" x14ac:dyDescent="0.25">
      <c r="A24" s="3" t="s">
        <v>2</v>
      </c>
      <c r="B24" t="s">
        <v>3</v>
      </c>
      <c r="C24" s="13"/>
      <c r="D24" s="3"/>
      <c r="E24" s="3"/>
      <c r="F24" s="3"/>
      <c r="G24" s="3"/>
      <c r="H24" s="3"/>
    </row>
    <row r="25" spans="1:8" x14ac:dyDescent="0.25">
      <c r="A25" s="3" t="s">
        <v>4</v>
      </c>
      <c r="B25" s="8">
        <v>1</v>
      </c>
      <c r="C25" s="13"/>
      <c r="D25" s="3"/>
      <c r="E25" s="3"/>
      <c r="F25" s="3"/>
      <c r="G25" s="3"/>
      <c r="H25" s="3"/>
    </row>
    <row r="26" spans="1:8" x14ac:dyDescent="0.25">
      <c r="A26" s="3" t="s">
        <v>5</v>
      </c>
      <c r="B26" t="s">
        <v>73</v>
      </c>
      <c r="C26" s="13"/>
      <c r="D26" s="3"/>
      <c r="E26" s="3"/>
      <c r="F26" s="3"/>
      <c r="G26" s="3"/>
      <c r="H26" s="3"/>
    </row>
    <row r="27" spans="1:8" x14ac:dyDescent="0.25">
      <c r="A27" s="3" t="s">
        <v>6</v>
      </c>
      <c r="B27" t="s">
        <v>7</v>
      </c>
      <c r="C27" s="13"/>
      <c r="D27" s="3"/>
      <c r="E27" s="3"/>
      <c r="F27" s="3"/>
      <c r="G27" s="3"/>
      <c r="H27" s="3"/>
    </row>
    <row r="28" spans="1:8" x14ac:dyDescent="0.25">
      <c r="A28" s="1" t="s">
        <v>8</v>
      </c>
      <c r="B28" s="3"/>
      <c r="C28" s="13"/>
      <c r="D28" s="3"/>
      <c r="E28" s="3"/>
      <c r="F28" s="3"/>
      <c r="G28" s="3"/>
      <c r="H28" s="3"/>
    </row>
    <row r="29" spans="1:8" x14ac:dyDescent="0.25">
      <c r="A29" s="7" t="s">
        <v>5</v>
      </c>
      <c r="B29" s="6" t="s">
        <v>9</v>
      </c>
      <c r="C29" s="9" t="s">
        <v>10</v>
      </c>
      <c r="D29" s="6" t="s">
        <v>6</v>
      </c>
      <c r="E29" s="6" t="s">
        <v>2</v>
      </c>
      <c r="F29" s="6" t="s">
        <v>12</v>
      </c>
      <c r="G29" s="6" t="s">
        <v>11</v>
      </c>
      <c r="H29" s="7" t="s">
        <v>13</v>
      </c>
    </row>
    <row r="30" spans="1:8" x14ac:dyDescent="0.25">
      <c r="A30" t="s">
        <v>73</v>
      </c>
      <c r="B30" t="s">
        <v>73</v>
      </c>
      <c r="C30" s="10">
        <v>1</v>
      </c>
      <c r="D30" t="s">
        <v>7</v>
      </c>
      <c r="E30" t="s">
        <v>3</v>
      </c>
      <c r="G30" s="16" t="s">
        <v>38</v>
      </c>
      <c r="H30" t="s">
        <v>14</v>
      </c>
    </row>
    <row r="31" spans="1:8" x14ac:dyDescent="0.25">
      <c r="A31" t="s">
        <v>74</v>
      </c>
      <c r="B31" t="s">
        <v>74</v>
      </c>
      <c r="C31" s="11">
        <v>4.7E-2</v>
      </c>
      <c r="D31" t="s">
        <v>75</v>
      </c>
      <c r="E31" t="s">
        <v>15</v>
      </c>
      <c r="G31" s="16" t="s">
        <v>39</v>
      </c>
      <c r="H31" t="s">
        <v>16</v>
      </c>
    </row>
    <row r="32" spans="1:8" x14ac:dyDescent="0.25">
      <c r="A32" t="s">
        <v>76</v>
      </c>
      <c r="B32" t="s">
        <v>77</v>
      </c>
      <c r="C32" s="11">
        <v>0.14699999999999999</v>
      </c>
      <c r="D32" t="s">
        <v>17</v>
      </c>
      <c r="E32" t="s">
        <v>3</v>
      </c>
      <c r="G32" s="16" t="s">
        <v>39</v>
      </c>
      <c r="H32" t="s">
        <v>16</v>
      </c>
    </row>
    <row r="33" spans="1:8" x14ac:dyDescent="0.25">
      <c r="A33" t="s">
        <v>78</v>
      </c>
      <c r="B33" t="s">
        <v>79</v>
      </c>
      <c r="C33" s="11">
        <v>2E-3</v>
      </c>
      <c r="D33" s="3" t="s">
        <v>7</v>
      </c>
      <c r="E33" s="3" t="s">
        <v>15</v>
      </c>
      <c r="G33" s="16" t="s">
        <v>39</v>
      </c>
      <c r="H33" t="s">
        <v>16</v>
      </c>
    </row>
    <row r="34" spans="1:8" x14ac:dyDescent="0.25">
      <c r="A34" t="s">
        <v>80</v>
      </c>
      <c r="B34" t="s">
        <v>81</v>
      </c>
      <c r="C34" s="12">
        <v>3.3300000000000002E-4</v>
      </c>
      <c r="D34" s="3" t="s">
        <v>7</v>
      </c>
      <c r="E34" s="3" t="s">
        <v>15</v>
      </c>
      <c r="G34" s="16" t="s">
        <v>39</v>
      </c>
      <c r="H34" t="s">
        <v>16</v>
      </c>
    </row>
    <row r="35" spans="1:8" x14ac:dyDescent="0.25">
      <c r="A35" t="s">
        <v>82</v>
      </c>
      <c r="B35" t="s">
        <v>83</v>
      </c>
      <c r="C35" s="10">
        <v>1.1999999999999999E-3</v>
      </c>
      <c r="D35" s="3" t="s">
        <v>7</v>
      </c>
      <c r="E35" s="3" t="s">
        <v>15</v>
      </c>
      <c r="G35" s="16" t="s">
        <v>39</v>
      </c>
      <c r="H35" t="s">
        <v>16</v>
      </c>
    </row>
    <row r="36" spans="1:8" x14ac:dyDescent="0.25">
      <c r="A36" t="s">
        <v>84</v>
      </c>
      <c r="B36" t="s">
        <v>85</v>
      </c>
      <c r="C36" s="23">
        <v>9.8800000000000003E-6</v>
      </c>
      <c r="D36" s="3" t="s">
        <v>7</v>
      </c>
      <c r="E36" s="3" t="s">
        <v>15</v>
      </c>
      <c r="G36" s="16" t="s">
        <v>39</v>
      </c>
      <c r="H36" t="s">
        <v>16</v>
      </c>
    </row>
    <row r="37" spans="1:8" x14ac:dyDescent="0.25">
      <c r="A37" t="s">
        <v>86</v>
      </c>
      <c r="B37" t="s">
        <v>87</v>
      </c>
      <c r="C37" s="23">
        <v>2.4700000000000001E-6</v>
      </c>
      <c r="D37" s="3" t="s">
        <v>7</v>
      </c>
      <c r="E37" s="3" t="s">
        <v>15</v>
      </c>
      <c r="G37" s="16" t="s">
        <v>39</v>
      </c>
      <c r="H37" t="s">
        <v>16</v>
      </c>
    </row>
    <row r="38" spans="1:8" x14ac:dyDescent="0.25">
      <c r="A38" t="s">
        <v>88</v>
      </c>
      <c r="B38" t="s">
        <v>89</v>
      </c>
      <c r="C38" s="23">
        <v>1.2300000000000001E-6</v>
      </c>
      <c r="D38" s="3" t="s">
        <v>7</v>
      </c>
      <c r="E38" s="3" t="s">
        <v>15</v>
      </c>
      <c r="G38" s="16" t="s">
        <v>39</v>
      </c>
      <c r="H38" t="s">
        <v>16</v>
      </c>
    </row>
    <row r="39" spans="1:8" x14ac:dyDescent="0.25">
      <c r="A39" t="s">
        <v>90</v>
      </c>
      <c r="B39" t="s">
        <v>91</v>
      </c>
      <c r="C39" s="10">
        <v>2.47E-2</v>
      </c>
      <c r="D39" s="3" t="s">
        <v>6</v>
      </c>
      <c r="E39" s="3" t="s">
        <v>15</v>
      </c>
      <c r="G39" s="16" t="s">
        <v>39</v>
      </c>
      <c r="H39" t="s">
        <v>16</v>
      </c>
    </row>
    <row r="40" spans="1:8" x14ac:dyDescent="0.25">
      <c r="A40" t="s">
        <v>92</v>
      </c>
      <c r="B40" t="s">
        <v>92</v>
      </c>
      <c r="C40" s="23">
        <v>2.4700000000000001E-6</v>
      </c>
      <c r="D40" s="3" t="s">
        <v>93</v>
      </c>
      <c r="E40" s="3" t="s">
        <v>15</v>
      </c>
      <c r="G40" s="16" t="s">
        <v>39</v>
      </c>
      <c r="H40" t="s">
        <v>16</v>
      </c>
    </row>
    <row r="41" spans="1:8" x14ac:dyDescent="0.25">
      <c r="A41" t="s">
        <v>94</v>
      </c>
      <c r="B41" t="s">
        <v>94</v>
      </c>
      <c r="C41" s="23">
        <v>2.4700000000000001E-6</v>
      </c>
      <c r="D41" s="3" t="s">
        <v>93</v>
      </c>
      <c r="E41" s="3" t="s">
        <v>15</v>
      </c>
      <c r="G41" s="16" t="s">
        <v>39</v>
      </c>
      <c r="H41" t="s">
        <v>16</v>
      </c>
    </row>
    <row r="42" spans="1:8" x14ac:dyDescent="0.25">
      <c r="A42" t="s">
        <v>95</v>
      </c>
      <c r="B42" t="s">
        <v>95</v>
      </c>
      <c r="C42" s="23">
        <v>2.4700000000000001E-6</v>
      </c>
      <c r="D42" s="3" t="s">
        <v>93</v>
      </c>
      <c r="E42" s="3" t="s">
        <v>15</v>
      </c>
      <c r="G42" s="16" t="s">
        <v>39</v>
      </c>
      <c r="H42" t="s">
        <v>16</v>
      </c>
    </row>
    <row r="43" spans="1:8" x14ac:dyDescent="0.25">
      <c r="A43" s="3" t="s">
        <v>96</v>
      </c>
      <c r="B43" s="3" t="s">
        <v>96</v>
      </c>
      <c r="C43" s="23">
        <v>2.4700000000000001E-6</v>
      </c>
      <c r="D43" s="3" t="s">
        <v>93</v>
      </c>
      <c r="E43" s="3" t="s">
        <v>15</v>
      </c>
      <c r="G43" s="16" t="s">
        <v>39</v>
      </c>
      <c r="H43" t="s">
        <v>16</v>
      </c>
    </row>
    <row r="44" spans="1:8" x14ac:dyDescent="0.25">
      <c r="A44" s="3" t="s">
        <v>97</v>
      </c>
      <c r="B44" s="3" t="s">
        <v>97</v>
      </c>
      <c r="C44" s="23">
        <v>2.4700000000000001E-6</v>
      </c>
      <c r="D44" s="3" t="s">
        <v>93</v>
      </c>
      <c r="E44" s="3" t="s">
        <v>15</v>
      </c>
      <c r="G44" s="16" t="s">
        <v>39</v>
      </c>
      <c r="H44" t="s">
        <v>16</v>
      </c>
    </row>
    <row r="45" spans="1:8" x14ac:dyDescent="0.25">
      <c r="A45" s="3" t="s">
        <v>98</v>
      </c>
      <c r="B45" s="3" t="s">
        <v>98</v>
      </c>
      <c r="C45" s="23">
        <v>9.8800000000000003E-6</v>
      </c>
      <c r="D45" s="3" t="s">
        <v>93</v>
      </c>
      <c r="E45" s="3" t="s">
        <v>15</v>
      </c>
      <c r="G45" s="16" t="s">
        <v>39</v>
      </c>
      <c r="H45" t="s">
        <v>16</v>
      </c>
    </row>
    <row r="46" spans="1:8" x14ac:dyDescent="0.25">
      <c r="A46" s="3" t="s">
        <v>99</v>
      </c>
      <c r="B46" s="3" t="s">
        <v>99</v>
      </c>
      <c r="C46" s="23">
        <v>1.4800000000000001E-5</v>
      </c>
      <c r="D46" s="3" t="s">
        <v>93</v>
      </c>
      <c r="E46" s="3" t="s">
        <v>15</v>
      </c>
      <c r="G46" s="16" t="s">
        <v>39</v>
      </c>
      <c r="H46" t="s">
        <v>16</v>
      </c>
    </row>
    <row r="47" spans="1:8" x14ac:dyDescent="0.25">
      <c r="A47" s="3" t="s">
        <v>100</v>
      </c>
      <c r="B47" s="3" t="s">
        <v>100</v>
      </c>
      <c r="C47" s="23">
        <v>1.2300000000000001E-5</v>
      </c>
      <c r="D47" s="3" t="s">
        <v>93</v>
      </c>
      <c r="E47" s="3" t="s">
        <v>15</v>
      </c>
      <c r="G47" s="16" t="s">
        <v>39</v>
      </c>
      <c r="H47" t="s">
        <v>16</v>
      </c>
    </row>
    <row r="48" spans="1:8" x14ac:dyDescent="0.25">
      <c r="A48" s="3" t="s">
        <v>101</v>
      </c>
      <c r="B48" s="3" t="s">
        <v>101</v>
      </c>
      <c r="C48" s="23">
        <v>2.4700000000000001E-6</v>
      </c>
      <c r="D48" s="3" t="s">
        <v>93</v>
      </c>
      <c r="E48" s="3" t="s">
        <v>15</v>
      </c>
      <c r="F48" s="3"/>
      <c r="G48" s="16" t="s">
        <v>39</v>
      </c>
      <c r="H48" t="s">
        <v>16</v>
      </c>
    </row>
    <row r="49" spans="1:8" x14ac:dyDescent="0.25">
      <c r="A49" s="3" t="s">
        <v>102</v>
      </c>
      <c r="B49" s="3" t="s">
        <v>102</v>
      </c>
      <c r="C49" s="12">
        <v>2.4700000000000001E-6</v>
      </c>
      <c r="D49" s="3" t="s">
        <v>93</v>
      </c>
      <c r="E49" s="3" t="s">
        <v>15</v>
      </c>
      <c r="F49" s="3"/>
      <c r="G49" s="16" t="s">
        <v>39</v>
      </c>
      <c r="H49" t="s">
        <v>16</v>
      </c>
    </row>
    <row r="50" spans="1:8" x14ac:dyDescent="0.25">
      <c r="B50" s="3" t="s">
        <v>103</v>
      </c>
      <c r="C50" s="11">
        <v>0.37</v>
      </c>
      <c r="D50" s="3" t="s">
        <v>104</v>
      </c>
      <c r="F50" s="3" t="s">
        <v>105</v>
      </c>
      <c r="G50" s="16" t="s">
        <v>34</v>
      </c>
      <c r="H50" t="s">
        <v>19</v>
      </c>
    </row>
    <row r="51" spans="1:8" x14ac:dyDescent="0.25">
      <c r="A51" s="19"/>
      <c r="B51" s="24" t="s">
        <v>106</v>
      </c>
      <c r="C51" s="25">
        <v>0.92200000000000004</v>
      </c>
      <c r="D51" s="24" t="s">
        <v>7</v>
      </c>
      <c r="E51" s="19"/>
      <c r="F51" s="24" t="s">
        <v>107</v>
      </c>
      <c r="G51" s="16" t="s">
        <v>34</v>
      </c>
      <c r="H51" s="19" t="s">
        <v>19</v>
      </c>
    </row>
    <row r="52" spans="1:8" x14ac:dyDescent="0.25">
      <c r="B52" s="3" t="s">
        <v>108</v>
      </c>
      <c r="C52" s="11">
        <v>2.47E-2</v>
      </c>
      <c r="D52" s="3" t="s">
        <v>109</v>
      </c>
      <c r="F52" s="3" t="s">
        <v>105</v>
      </c>
      <c r="G52" s="16" t="s">
        <v>34</v>
      </c>
      <c r="H52" t="s">
        <v>19</v>
      </c>
    </row>
    <row r="53" spans="1:8" x14ac:dyDescent="0.25">
      <c r="B53" s="3" t="s">
        <v>110</v>
      </c>
      <c r="C53" s="11">
        <v>2.47E-2</v>
      </c>
      <c r="D53" s="3" t="s">
        <v>109</v>
      </c>
      <c r="F53" s="3" t="s">
        <v>105</v>
      </c>
      <c r="G53" s="16" t="s">
        <v>34</v>
      </c>
      <c r="H53" t="s">
        <v>19</v>
      </c>
    </row>
    <row r="54" spans="1:8" x14ac:dyDescent="0.25">
      <c r="B54" s="3" t="s">
        <v>111</v>
      </c>
      <c r="C54" s="12">
        <v>4.8600000000000002E-5</v>
      </c>
      <c r="D54" s="3" t="s">
        <v>7</v>
      </c>
      <c r="F54" s="3" t="s">
        <v>21</v>
      </c>
      <c r="G54" s="16" t="s">
        <v>34</v>
      </c>
      <c r="H54" t="s">
        <v>19</v>
      </c>
    </row>
    <row r="55" spans="1:8" x14ac:dyDescent="0.25">
      <c r="B55" s="3" t="s">
        <v>112</v>
      </c>
      <c r="C55" s="12">
        <v>4.7800000000000003E-5</v>
      </c>
      <c r="D55" s="3" t="s">
        <v>7</v>
      </c>
      <c r="F55" s="3" t="s">
        <v>21</v>
      </c>
      <c r="G55" s="16" t="s">
        <v>34</v>
      </c>
      <c r="H55" t="s">
        <v>19</v>
      </c>
    </row>
    <row r="56" spans="1:8" x14ac:dyDescent="0.25">
      <c r="B56" s="3" t="s">
        <v>20</v>
      </c>
      <c r="C56" s="12">
        <v>1.0000000000000001E-5</v>
      </c>
      <c r="D56" s="3" t="s">
        <v>7</v>
      </c>
      <c r="F56" s="3" t="s">
        <v>21</v>
      </c>
      <c r="G56" s="16" t="s">
        <v>34</v>
      </c>
      <c r="H56" t="s">
        <v>19</v>
      </c>
    </row>
    <row r="57" spans="1:8" x14ac:dyDescent="0.25">
      <c r="B57" t="s">
        <v>113</v>
      </c>
      <c r="C57" s="12">
        <v>2.4500000000000001E-2</v>
      </c>
      <c r="D57" s="3" t="s">
        <v>7</v>
      </c>
      <c r="F57" s="3" t="s">
        <v>21</v>
      </c>
      <c r="G57" s="16" t="s">
        <v>34</v>
      </c>
      <c r="H57" t="s">
        <v>19</v>
      </c>
    </row>
    <row r="58" spans="1:8" x14ac:dyDescent="0.25">
      <c r="B58" s="3" t="s">
        <v>114</v>
      </c>
      <c r="C58" s="12">
        <v>9.7199999999999999E-4</v>
      </c>
      <c r="D58" s="3" t="s">
        <v>7</v>
      </c>
      <c r="F58" s="3" t="s">
        <v>115</v>
      </c>
      <c r="G58" s="16" t="s">
        <v>34</v>
      </c>
      <c r="H58" t="s">
        <v>19</v>
      </c>
    </row>
    <row r="59" spans="1:8" x14ac:dyDescent="0.25">
      <c r="B59" s="3" t="s">
        <v>116</v>
      </c>
      <c r="C59" s="12">
        <v>6.4799999999999998E-6</v>
      </c>
      <c r="D59" s="3" t="s">
        <v>7</v>
      </c>
      <c r="F59" s="3" t="s">
        <v>117</v>
      </c>
      <c r="G59" s="16" t="s">
        <v>34</v>
      </c>
      <c r="H59" t="s">
        <v>19</v>
      </c>
    </row>
    <row r="60" spans="1:8" x14ac:dyDescent="0.25">
      <c r="B60" s="3" t="s">
        <v>118</v>
      </c>
      <c r="C60" s="12">
        <v>7.9500000000000001E-6</v>
      </c>
      <c r="D60" s="3" t="s">
        <v>7</v>
      </c>
      <c r="F60" s="3" t="s">
        <v>115</v>
      </c>
      <c r="G60" s="16" t="s">
        <v>34</v>
      </c>
      <c r="H60" t="s">
        <v>19</v>
      </c>
    </row>
    <row r="61" spans="1:8" x14ac:dyDescent="0.25">
      <c r="B61" s="3" t="s">
        <v>119</v>
      </c>
      <c r="C61" s="12">
        <v>7.2999999999999996E-10</v>
      </c>
      <c r="D61" s="3" t="s">
        <v>7</v>
      </c>
      <c r="F61" s="3" t="s">
        <v>117</v>
      </c>
      <c r="G61" s="16" t="s">
        <v>34</v>
      </c>
      <c r="H61" t="s">
        <v>19</v>
      </c>
    </row>
    <row r="62" spans="1:8" x14ac:dyDescent="0.25">
      <c r="B62" s="3" t="s">
        <v>120</v>
      </c>
      <c r="C62" s="12">
        <v>7.3199999999999994E-8</v>
      </c>
      <c r="D62" s="3" t="s">
        <v>7</v>
      </c>
      <c r="F62" s="3" t="s">
        <v>117</v>
      </c>
      <c r="G62" s="16" t="s">
        <v>34</v>
      </c>
      <c r="H62" t="s">
        <v>19</v>
      </c>
    </row>
    <row r="63" spans="1:8" x14ac:dyDescent="0.25">
      <c r="B63" s="3" t="s">
        <v>121</v>
      </c>
      <c r="C63" s="12">
        <v>6.5300000000000004E-9</v>
      </c>
      <c r="D63" s="3" t="s">
        <v>7</v>
      </c>
      <c r="F63" s="3" t="s">
        <v>117</v>
      </c>
      <c r="G63" s="16" t="s">
        <v>34</v>
      </c>
      <c r="H63" t="s">
        <v>19</v>
      </c>
    </row>
    <row r="64" spans="1:8" x14ac:dyDescent="0.25">
      <c r="B64" s="3" t="s">
        <v>122</v>
      </c>
      <c r="C64" s="12">
        <v>5.0600000000000003E-8</v>
      </c>
      <c r="D64" s="3" t="s">
        <v>7</v>
      </c>
      <c r="F64" s="3" t="s">
        <v>117</v>
      </c>
      <c r="G64" s="16" t="s">
        <v>34</v>
      </c>
      <c r="H64" t="s">
        <v>19</v>
      </c>
    </row>
    <row r="65" spans="1:8" x14ac:dyDescent="0.25">
      <c r="B65" s="3" t="s">
        <v>123</v>
      </c>
      <c r="C65" s="12">
        <v>7.24E-8</v>
      </c>
      <c r="D65" s="3" t="s">
        <v>7</v>
      </c>
      <c r="F65" s="3" t="s">
        <v>117</v>
      </c>
      <c r="G65" s="16" t="s">
        <v>34</v>
      </c>
      <c r="H65" t="s">
        <v>19</v>
      </c>
    </row>
    <row r="66" spans="1:8" x14ac:dyDescent="0.25">
      <c r="B66" s="3" t="s">
        <v>119</v>
      </c>
      <c r="C66" s="12">
        <v>1.85E-9</v>
      </c>
      <c r="D66" s="3" t="s">
        <v>7</v>
      </c>
      <c r="F66" t="s">
        <v>115</v>
      </c>
      <c r="G66" s="16" t="s">
        <v>34</v>
      </c>
      <c r="H66" t="s">
        <v>19</v>
      </c>
    </row>
    <row r="67" spans="1:8" x14ac:dyDescent="0.25">
      <c r="B67" s="3" t="s">
        <v>120</v>
      </c>
      <c r="C67" s="12">
        <v>7.85E-7</v>
      </c>
      <c r="D67" s="3" t="s">
        <v>7</v>
      </c>
      <c r="F67" t="s">
        <v>115</v>
      </c>
      <c r="G67" s="16" t="s">
        <v>34</v>
      </c>
      <c r="H67" t="s">
        <v>19</v>
      </c>
    </row>
    <row r="68" spans="1:8" x14ac:dyDescent="0.25">
      <c r="B68" t="s">
        <v>124</v>
      </c>
      <c r="C68" s="12">
        <v>1.3300000000000001E-7</v>
      </c>
      <c r="D68" s="3" t="s">
        <v>7</v>
      </c>
      <c r="F68" t="s">
        <v>115</v>
      </c>
      <c r="G68" s="16" t="s">
        <v>34</v>
      </c>
      <c r="H68" t="s">
        <v>19</v>
      </c>
    </row>
    <row r="69" spans="1:8" x14ac:dyDescent="0.25">
      <c r="B69" s="3" t="s">
        <v>121</v>
      </c>
      <c r="C69" s="12">
        <v>2.22E-8</v>
      </c>
      <c r="D69" s="3" t="s">
        <v>7</v>
      </c>
      <c r="F69" t="s">
        <v>115</v>
      </c>
      <c r="G69" s="16" t="s">
        <v>34</v>
      </c>
      <c r="H69" t="s">
        <v>19</v>
      </c>
    </row>
    <row r="70" spans="1:8" x14ac:dyDescent="0.25">
      <c r="B70" s="3" t="s">
        <v>123</v>
      </c>
      <c r="C70" s="12">
        <v>1.22E-6</v>
      </c>
      <c r="D70" s="3" t="s">
        <v>7</v>
      </c>
      <c r="F70" t="s">
        <v>115</v>
      </c>
      <c r="G70" s="16" t="s">
        <v>34</v>
      </c>
      <c r="H70" t="s">
        <v>19</v>
      </c>
    </row>
    <row r="71" spans="1:8" x14ac:dyDescent="0.25">
      <c r="B71" s="3" t="s">
        <v>119</v>
      </c>
      <c r="C71" s="12">
        <v>-2.3900000000000001E-7</v>
      </c>
      <c r="D71" s="3" t="s">
        <v>7</v>
      </c>
      <c r="F71" s="3" t="s">
        <v>125</v>
      </c>
      <c r="G71" s="16" t="s">
        <v>34</v>
      </c>
      <c r="H71" t="s">
        <v>19</v>
      </c>
    </row>
    <row r="72" spans="1:8" x14ac:dyDescent="0.25">
      <c r="B72" s="3" t="s">
        <v>120</v>
      </c>
      <c r="C72" s="12">
        <v>-5.0100000000000005E-7</v>
      </c>
      <c r="D72" s="3" t="s">
        <v>7</v>
      </c>
      <c r="F72" s="3" t="s">
        <v>125</v>
      </c>
      <c r="G72" s="16" t="s">
        <v>34</v>
      </c>
      <c r="H72" t="s">
        <v>19</v>
      </c>
    </row>
    <row r="73" spans="1:8" x14ac:dyDescent="0.25">
      <c r="B73" t="s">
        <v>124</v>
      </c>
      <c r="C73" s="12">
        <v>-1.2999999999999999E-5</v>
      </c>
      <c r="D73" s="3" t="s">
        <v>7</v>
      </c>
      <c r="F73" s="3" t="s">
        <v>125</v>
      </c>
      <c r="G73" s="16" t="s">
        <v>34</v>
      </c>
      <c r="H73" t="s">
        <v>19</v>
      </c>
    </row>
    <row r="74" spans="1:8" x14ac:dyDescent="0.25">
      <c r="B74" t="s">
        <v>121</v>
      </c>
      <c r="C74" s="12">
        <v>-7.0900000000000001E-7</v>
      </c>
      <c r="D74" s="3" t="s">
        <v>7</v>
      </c>
      <c r="F74" s="3" t="s">
        <v>125</v>
      </c>
      <c r="G74" s="16" t="s">
        <v>34</v>
      </c>
      <c r="H74" t="s">
        <v>19</v>
      </c>
    </row>
    <row r="75" spans="1:8" x14ac:dyDescent="0.25">
      <c r="B75" s="3" t="s">
        <v>122</v>
      </c>
      <c r="C75" s="12">
        <v>2.8299999999999998E-7</v>
      </c>
      <c r="D75" s="3" t="s">
        <v>7</v>
      </c>
      <c r="F75" s="3" t="s">
        <v>125</v>
      </c>
      <c r="G75" s="16" t="s">
        <v>34</v>
      </c>
      <c r="H75" t="s">
        <v>19</v>
      </c>
    </row>
    <row r="76" spans="1:8" x14ac:dyDescent="0.25">
      <c r="B76" s="3" t="s">
        <v>123</v>
      </c>
      <c r="C76" s="12">
        <v>-3.3300000000000003E-5</v>
      </c>
      <c r="D76" s="3" t="s">
        <v>7</v>
      </c>
      <c r="F76" t="s">
        <v>125</v>
      </c>
      <c r="G76" s="16" t="s">
        <v>34</v>
      </c>
      <c r="H76" t="s">
        <v>19</v>
      </c>
    </row>
    <row r="77" spans="1:8" x14ac:dyDescent="0.25">
      <c r="B77" s="3" t="s">
        <v>126</v>
      </c>
      <c r="C77" s="12">
        <v>9.8800000000000003E-6</v>
      </c>
      <c r="D77" s="3" t="s">
        <v>7</v>
      </c>
      <c r="F77" t="s">
        <v>127</v>
      </c>
      <c r="G77" s="16" t="s">
        <v>34</v>
      </c>
      <c r="H77" t="s">
        <v>19</v>
      </c>
    </row>
    <row r="78" spans="1:8" x14ac:dyDescent="0.25">
      <c r="B78" t="s">
        <v>128</v>
      </c>
      <c r="C78" s="12">
        <v>1.2300000000000001E-6</v>
      </c>
      <c r="D78" s="3" t="s">
        <v>7</v>
      </c>
      <c r="F78" t="s">
        <v>125</v>
      </c>
      <c r="G78" s="16" t="s">
        <v>34</v>
      </c>
      <c r="H78" t="s">
        <v>19</v>
      </c>
    </row>
    <row r="79" spans="1:8" x14ac:dyDescent="0.25">
      <c r="A79" s="2"/>
      <c r="B79" s="2"/>
      <c r="C79" s="14"/>
      <c r="D79" s="2"/>
      <c r="E79" s="2"/>
      <c r="F79" s="2"/>
      <c r="G79" s="2"/>
      <c r="H79" s="2"/>
    </row>
    <row r="80" spans="1:8" x14ac:dyDescent="0.25">
      <c r="A80" s="1" t="s">
        <v>0</v>
      </c>
      <c r="B80" s="22" t="s">
        <v>129</v>
      </c>
      <c r="C80" s="13"/>
      <c r="D80" s="3"/>
      <c r="E80" s="3"/>
      <c r="F80" s="3"/>
      <c r="G80" s="3"/>
      <c r="H80" s="3"/>
    </row>
    <row r="81" spans="1:8" x14ac:dyDescent="0.25">
      <c r="A81" s="3" t="s">
        <v>1</v>
      </c>
      <c r="B81" s="6" t="s">
        <v>160</v>
      </c>
      <c r="C81" s="13"/>
      <c r="D81" s="3"/>
      <c r="E81" s="3"/>
      <c r="F81" s="3"/>
      <c r="G81" s="3"/>
      <c r="H81" s="3"/>
    </row>
    <row r="82" spans="1:8" x14ac:dyDescent="0.25">
      <c r="A82" s="3" t="s">
        <v>2</v>
      </c>
      <c r="B82" t="s">
        <v>3</v>
      </c>
      <c r="C82" s="13"/>
      <c r="D82" s="3"/>
      <c r="E82" s="3"/>
      <c r="F82" s="3"/>
      <c r="G82" s="3"/>
      <c r="H82" s="3"/>
    </row>
    <row r="83" spans="1:8" x14ac:dyDescent="0.25">
      <c r="A83" s="3" t="s">
        <v>4</v>
      </c>
      <c r="B83" s="8">
        <v>1</v>
      </c>
      <c r="C83" s="13"/>
      <c r="D83" s="3"/>
      <c r="E83" s="3"/>
      <c r="F83" s="3"/>
      <c r="G83" s="3"/>
      <c r="H83" s="3"/>
    </row>
    <row r="84" spans="1:8" x14ac:dyDescent="0.25">
      <c r="A84" s="3" t="s">
        <v>5</v>
      </c>
      <c r="B84" t="s">
        <v>130</v>
      </c>
      <c r="C84" s="13"/>
      <c r="D84" s="3"/>
      <c r="E84" s="3"/>
      <c r="F84" s="3"/>
      <c r="G84" s="3"/>
      <c r="H84" s="3"/>
    </row>
    <row r="85" spans="1:8" x14ac:dyDescent="0.25">
      <c r="A85" s="3" t="s">
        <v>6</v>
      </c>
      <c r="B85" t="s">
        <v>7</v>
      </c>
      <c r="C85" s="13"/>
      <c r="D85" s="3"/>
      <c r="E85" s="3"/>
      <c r="F85" s="3"/>
      <c r="G85" s="3"/>
      <c r="H85" s="3"/>
    </row>
    <row r="86" spans="1:8" x14ac:dyDescent="0.25">
      <c r="A86" s="1" t="s">
        <v>8</v>
      </c>
      <c r="B86" s="3"/>
      <c r="C86" s="13"/>
      <c r="D86" s="3"/>
      <c r="E86" s="3"/>
      <c r="F86" s="3"/>
      <c r="G86" s="3"/>
      <c r="H86" s="3"/>
    </row>
    <row r="87" spans="1:8" x14ac:dyDescent="0.25">
      <c r="A87" s="7" t="s">
        <v>5</v>
      </c>
      <c r="B87" s="6" t="s">
        <v>9</v>
      </c>
      <c r="C87" s="9" t="s">
        <v>10</v>
      </c>
      <c r="D87" s="6" t="s">
        <v>6</v>
      </c>
      <c r="E87" s="6" t="s">
        <v>2</v>
      </c>
      <c r="F87" s="6" t="s">
        <v>12</v>
      </c>
      <c r="G87" s="6" t="s">
        <v>11</v>
      </c>
      <c r="H87" s="7" t="s">
        <v>13</v>
      </c>
    </row>
    <row r="88" spans="1:8" x14ac:dyDescent="0.25">
      <c r="A88" t="s">
        <v>130</v>
      </c>
      <c r="B88" t="s">
        <v>129</v>
      </c>
      <c r="C88" s="10">
        <v>1</v>
      </c>
      <c r="D88" t="s">
        <v>7</v>
      </c>
      <c r="E88" t="s">
        <v>3</v>
      </c>
      <c r="G88" s="16" t="s">
        <v>38</v>
      </c>
      <c r="H88" t="s">
        <v>14</v>
      </c>
    </row>
    <row r="89" spans="1:8" x14ac:dyDescent="0.25">
      <c r="A89" t="s">
        <v>73</v>
      </c>
      <c r="B89" t="s">
        <v>73</v>
      </c>
      <c r="C89" s="10">
        <v>6.68</v>
      </c>
      <c r="D89" t="s">
        <v>7</v>
      </c>
      <c r="E89" t="s">
        <v>3</v>
      </c>
      <c r="G89" s="16" t="s">
        <v>38</v>
      </c>
      <c r="H89" t="s">
        <v>16</v>
      </c>
    </row>
    <row r="90" spans="1:8" x14ac:dyDescent="0.25">
      <c r="A90" t="s">
        <v>132</v>
      </c>
      <c r="B90" t="s">
        <v>131</v>
      </c>
      <c r="C90" s="11">
        <v>1.82</v>
      </c>
      <c r="D90" t="s">
        <v>7</v>
      </c>
      <c r="E90" t="s">
        <v>3</v>
      </c>
      <c r="G90" s="16" t="s">
        <v>38</v>
      </c>
      <c r="H90" t="s">
        <v>16</v>
      </c>
    </row>
    <row r="91" spans="1:8" x14ac:dyDescent="0.25">
      <c r="A91" t="s">
        <v>134</v>
      </c>
      <c r="B91" t="s">
        <v>133</v>
      </c>
      <c r="C91" s="11">
        <v>0.19900000000000001</v>
      </c>
      <c r="D91" s="3" t="s">
        <v>75</v>
      </c>
      <c r="E91" t="s">
        <v>15</v>
      </c>
      <c r="G91" s="16" t="s">
        <v>38</v>
      </c>
      <c r="H91" t="s">
        <v>16</v>
      </c>
    </row>
    <row r="92" spans="1:8" x14ac:dyDescent="0.25">
      <c r="A92" t="s">
        <v>24</v>
      </c>
      <c r="B92" t="s">
        <v>25</v>
      </c>
      <c r="C92" s="11">
        <v>0.96399999999999997</v>
      </c>
      <c r="D92" t="s">
        <v>26</v>
      </c>
      <c r="E92" t="s">
        <v>3</v>
      </c>
      <c r="G92" s="16" t="s">
        <v>39</v>
      </c>
      <c r="H92" t="s">
        <v>16</v>
      </c>
    </row>
    <row r="93" spans="1:8" x14ac:dyDescent="0.25">
      <c r="A93" t="s">
        <v>138</v>
      </c>
      <c r="B93" t="s">
        <v>137</v>
      </c>
      <c r="C93" s="11">
        <v>-25.6</v>
      </c>
      <c r="D93" t="s">
        <v>23</v>
      </c>
      <c r="E93" t="s">
        <v>15</v>
      </c>
      <c r="G93" s="16" t="s">
        <v>39</v>
      </c>
      <c r="H93" t="s">
        <v>16</v>
      </c>
    </row>
    <row r="94" spans="1:8" x14ac:dyDescent="0.25">
      <c r="A94" t="s">
        <v>136</v>
      </c>
      <c r="B94" t="s">
        <v>135</v>
      </c>
      <c r="C94" s="12">
        <v>-5.6400000000000005E-4</v>
      </c>
      <c r="D94" t="s">
        <v>7</v>
      </c>
      <c r="E94" t="s">
        <v>15</v>
      </c>
      <c r="G94" s="16" t="s">
        <v>39</v>
      </c>
      <c r="H94" t="s">
        <v>16</v>
      </c>
    </row>
    <row r="95" spans="1:8" x14ac:dyDescent="0.25">
      <c r="B95" t="s">
        <v>18</v>
      </c>
      <c r="C95" s="11">
        <v>3.01</v>
      </c>
      <c r="D95" t="s">
        <v>7</v>
      </c>
      <c r="F95" t="s">
        <v>21</v>
      </c>
      <c r="G95" s="16" t="s">
        <v>34</v>
      </c>
      <c r="H95" t="s">
        <v>19</v>
      </c>
    </row>
    <row r="96" spans="1:8" x14ac:dyDescent="0.25">
      <c r="B96" t="s">
        <v>139</v>
      </c>
      <c r="C96" s="12">
        <v>3.0299999999999999E-10</v>
      </c>
      <c r="D96" t="s">
        <v>7</v>
      </c>
      <c r="F96" t="s">
        <v>21</v>
      </c>
      <c r="G96" s="16" t="s">
        <v>34</v>
      </c>
      <c r="H96" t="s">
        <v>19</v>
      </c>
    </row>
    <row r="97" spans="2:8" x14ac:dyDescent="0.25">
      <c r="B97" t="s">
        <v>140</v>
      </c>
      <c r="C97" s="12">
        <v>5.8799999999999998E-4</v>
      </c>
      <c r="D97" t="s">
        <v>7</v>
      </c>
      <c r="F97" t="s">
        <v>21</v>
      </c>
      <c r="G97" s="16" t="s">
        <v>34</v>
      </c>
      <c r="H97" t="s">
        <v>19</v>
      </c>
    </row>
    <row r="98" spans="2:8" x14ac:dyDescent="0.25">
      <c r="B98" t="s">
        <v>20</v>
      </c>
      <c r="C98" s="12">
        <v>4.5200000000000001E-5</v>
      </c>
      <c r="D98" t="s">
        <v>7</v>
      </c>
      <c r="F98" t="s">
        <v>21</v>
      </c>
      <c r="G98" s="16" t="s">
        <v>34</v>
      </c>
      <c r="H98" t="s">
        <v>19</v>
      </c>
    </row>
    <row r="99" spans="2:8" x14ac:dyDescent="0.25">
      <c r="B99" t="s">
        <v>20</v>
      </c>
      <c r="C99" s="12">
        <v>6.78E-4</v>
      </c>
      <c r="D99" t="s">
        <v>7</v>
      </c>
      <c r="F99" t="s">
        <v>21</v>
      </c>
      <c r="G99" s="16" t="s">
        <v>34</v>
      </c>
      <c r="H99" t="s">
        <v>19</v>
      </c>
    </row>
    <row r="100" spans="2:8" x14ac:dyDescent="0.25">
      <c r="B100" t="s">
        <v>141</v>
      </c>
      <c r="C100" s="12">
        <v>4.4500000000000001E-11</v>
      </c>
      <c r="D100" t="s">
        <v>7</v>
      </c>
      <c r="F100" t="s">
        <v>21</v>
      </c>
      <c r="G100" s="16" t="s">
        <v>34</v>
      </c>
      <c r="H100" t="s">
        <v>19</v>
      </c>
    </row>
    <row r="101" spans="2:8" x14ac:dyDescent="0.25">
      <c r="B101" t="s">
        <v>142</v>
      </c>
      <c r="C101" s="12">
        <v>1.08E-9</v>
      </c>
      <c r="D101" t="s">
        <v>7</v>
      </c>
      <c r="F101" t="s">
        <v>21</v>
      </c>
      <c r="G101" s="16" t="s">
        <v>34</v>
      </c>
      <c r="H101" t="s">
        <v>19</v>
      </c>
    </row>
    <row r="102" spans="2:8" x14ac:dyDescent="0.25">
      <c r="B102" t="s">
        <v>143</v>
      </c>
      <c r="C102" s="12">
        <v>1.2300000000000001E-4</v>
      </c>
      <c r="D102" t="s">
        <v>7</v>
      </c>
      <c r="F102" t="s">
        <v>21</v>
      </c>
      <c r="G102" s="16" t="s">
        <v>34</v>
      </c>
      <c r="H102" t="s">
        <v>19</v>
      </c>
    </row>
    <row r="103" spans="2:8" x14ac:dyDescent="0.25">
      <c r="B103" t="s">
        <v>144</v>
      </c>
      <c r="C103" s="12">
        <v>3.1100000000000001E-8</v>
      </c>
      <c r="D103" t="s">
        <v>7</v>
      </c>
      <c r="F103" t="s">
        <v>21</v>
      </c>
      <c r="G103" s="16" t="s">
        <v>34</v>
      </c>
      <c r="H103" t="s">
        <v>19</v>
      </c>
    </row>
    <row r="104" spans="2:8" x14ac:dyDescent="0.25">
      <c r="B104" t="s">
        <v>145</v>
      </c>
      <c r="C104" s="12">
        <v>1.8699999999999999E-8</v>
      </c>
      <c r="D104" t="s">
        <v>7</v>
      </c>
      <c r="F104" t="s">
        <v>21</v>
      </c>
      <c r="G104" s="16" t="s">
        <v>34</v>
      </c>
      <c r="H104" t="s">
        <v>19</v>
      </c>
    </row>
    <row r="105" spans="2:8" x14ac:dyDescent="0.25">
      <c r="B105" t="s">
        <v>149</v>
      </c>
      <c r="C105" s="12">
        <v>1.31E-5</v>
      </c>
      <c r="D105" t="s">
        <v>7</v>
      </c>
      <c r="F105" t="s">
        <v>21</v>
      </c>
      <c r="G105" s="16" t="s">
        <v>34</v>
      </c>
      <c r="H105" t="s">
        <v>19</v>
      </c>
    </row>
    <row r="106" spans="2:8" x14ac:dyDescent="0.25">
      <c r="B106" t="s">
        <v>119</v>
      </c>
      <c r="C106" s="12">
        <v>4.1799999999999997E-8</v>
      </c>
      <c r="D106" t="s">
        <v>7</v>
      </c>
      <c r="F106" t="s">
        <v>21</v>
      </c>
      <c r="G106" s="16" t="s">
        <v>34</v>
      </c>
      <c r="H106" t="s">
        <v>19</v>
      </c>
    </row>
    <row r="107" spans="2:8" x14ac:dyDescent="0.25">
      <c r="B107" t="s">
        <v>146</v>
      </c>
      <c r="C107" s="12">
        <v>9.3299999999999995E-8</v>
      </c>
      <c r="D107" t="s">
        <v>7</v>
      </c>
      <c r="F107" t="s">
        <v>21</v>
      </c>
      <c r="G107" s="16" t="s">
        <v>34</v>
      </c>
      <c r="H107" t="s">
        <v>19</v>
      </c>
    </row>
    <row r="108" spans="2:8" x14ac:dyDescent="0.25">
      <c r="B108" t="s">
        <v>128</v>
      </c>
      <c r="C108" s="12">
        <v>4.3599999999999998E-6</v>
      </c>
      <c r="D108" t="s">
        <v>7</v>
      </c>
      <c r="F108" t="s">
        <v>21</v>
      </c>
      <c r="G108" s="16" t="s">
        <v>34</v>
      </c>
      <c r="H108" t="s">
        <v>19</v>
      </c>
    </row>
    <row r="109" spans="2:8" x14ac:dyDescent="0.25">
      <c r="B109" t="s">
        <v>147</v>
      </c>
      <c r="C109" s="12">
        <v>1.5200000000000001E-6</v>
      </c>
      <c r="D109" t="s">
        <v>7</v>
      </c>
      <c r="F109" t="s">
        <v>21</v>
      </c>
      <c r="G109" s="16" t="s">
        <v>34</v>
      </c>
      <c r="H109" t="s">
        <v>19</v>
      </c>
    </row>
    <row r="110" spans="2:8" x14ac:dyDescent="0.25">
      <c r="B110" t="s">
        <v>148</v>
      </c>
      <c r="C110" s="12">
        <v>5.2899999999999997E-8</v>
      </c>
      <c r="D110" t="s">
        <v>7</v>
      </c>
      <c r="F110" t="s">
        <v>21</v>
      </c>
      <c r="G110" s="16" t="s">
        <v>34</v>
      </c>
      <c r="H110" t="s">
        <v>19</v>
      </c>
    </row>
    <row r="111" spans="2:8" x14ac:dyDescent="0.25">
      <c r="B111" t="s">
        <v>150</v>
      </c>
      <c r="C111" s="12">
        <v>5.2899999999999997E-8</v>
      </c>
      <c r="D111" t="s">
        <v>7</v>
      </c>
      <c r="F111" t="s">
        <v>21</v>
      </c>
      <c r="G111" s="16" t="s">
        <v>34</v>
      </c>
      <c r="H111" t="s">
        <v>19</v>
      </c>
    </row>
    <row r="112" spans="2:8" x14ac:dyDescent="0.25">
      <c r="B112" t="s">
        <v>116</v>
      </c>
      <c r="C112" s="12">
        <v>9.95E-7</v>
      </c>
      <c r="D112" t="s">
        <v>7</v>
      </c>
      <c r="F112" t="s">
        <v>21</v>
      </c>
      <c r="G112" s="16" t="s">
        <v>34</v>
      </c>
      <c r="H112" t="s">
        <v>19</v>
      </c>
    </row>
    <row r="113" spans="1:9" x14ac:dyDescent="0.25">
      <c r="B113" t="s">
        <v>123</v>
      </c>
      <c r="C113" s="12">
        <v>1.12E-7</v>
      </c>
      <c r="D113" t="s">
        <v>7</v>
      </c>
      <c r="F113" t="s">
        <v>21</v>
      </c>
      <c r="G113" s="16" t="s">
        <v>34</v>
      </c>
      <c r="H113" t="s">
        <v>19</v>
      </c>
    </row>
    <row r="114" spans="1:9" x14ac:dyDescent="0.25">
      <c r="B114" t="s">
        <v>124</v>
      </c>
      <c r="C114" s="12">
        <v>4.0399999999999998E-8</v>
      </c>
      <c r="D114" t="s">
        <v>7</v>
      </c>
      <c r="F114" t="s">
        <v>21</v>
      </c>
      <c r="G114" s="16" t="s">
        <v>34</v>
      </c>
      <c r="H114" t="s">
        <v>19</v>
      </c>
    </row>
    <row r="115" spans="1:9" x14ac:dyDescent="0.25">
      <c r="B115" t="s">
        <v>121</v>
      </c>
      <c r="C115" s="12">
        <v>4.3599999999999998E-9</v>
      </c>
      <c r="D115" t="s">
        <v>7</v>
      </c>
      <c r="F115" t="s">
        <v>21</v>
      </c>
      <c r="G115" s="16" t="s">
        <v>34</v>
      </c>
      <c r="H115" t="s">
        <v>19</v>
      </c>
    </row>
    <row r="116" spans="1:9" x14ac:dyDescent="0.25">
      <c r="A116" s="2"/>
      <c r="B116" s="2"/>
      <c r="C116" s="14"/>
      <c r="D116" s="2"/>
      <c r="E116" s="2"/>
      <c r="F116" s="2"/>
      <c r="G116" s="2"/>
      <c r="H116" s="2"/>
    </row>
    <row r="117" spans="1:9" x14ac:dyDescent="0.25">
      <c r="A117" s="1" t="s">
        <v>0</v>
      </c>
      <c r="B117" s="22" t="s">
        <v>184</v>
      </c>
      <c r="C117" s="13"/>
      <c r="D117" s="3"/>
      <c r="E117" s="3"/>
      <c r="F117" s="3"/>
      <c r="G117" s="3"/>
      <c r="H117" s="3"/>
    </row>
    <row r="118" spans="1:9" x14ac:dyDescent="0.25">
      <c r="A118" s="3" t="s">
        <v>1</v>
      </c>
      <c r="B118" s="6" t="s">
        <v>160</v>
      </c>
      <c r="C118" s="13"/>
      <c r="D118" s="3"/>
      <c r="E118" s="3"/>
      <c r="F118" s="3"/>
      <c r="G118" s="3"/>
      <c r="H118" s="3"/>
    </row>
    <row r="119" spans="1:9" x14ac:dyDescent="0.25">
      <c r="A119" s="3" t="s">
        <v>2</v>
      </c>
      <c r="B119" t="s">
        <v>3</v>
      </c>
      <c r="C119" s="13"/>
      <c r="D119" s="3"/>
      <c r="E119" s="3"/>
      <c r="F119" s="3"/>
      <c r="G119" s="3"/>
      <c r="H119" s="3"/>
    </row>
    <row r="120" spans="1:9" x14ac:dyDescent="0.25">
      <c r="A120" s="3" t="s">
        <v>4</v>
      </c>
      <c r="B120" s="8">
        <v>1</v>
      </c>
      <c r="C120" s="13"/>
      <c r="D120" s="3"/>
      <c r="E120" s="3"/>
      <c r="F120" s="3"/>
      <c r="G120" s="3"/>
      <c r="H120" s="3"/>
    </row>
    <row r="121" spans="1:9" x14ac:dyDescent="0.25">
      <c r="A121" s="3" t="s">
        <v>5</v>
      </c>
      <c r="B121" t="s">
        <v>192</v>
      </c>
      <c r="C121" s="13"/>
      <c r="D121" s="3"/>
      <c r="E121" s="3"/>
      <c r="F121" s="3"/>
      <c r="G121" s="3"/>
      <c r="H121" s="3"/>
    </row>
    <row r="122" spans="1:9" x14ac:dyDescent="0.25">
      <c r="A122" s="3" t="s">
        <v>6</v>
      </c>
      <c r="B122" t="s">
        <v>7</v>
      </c>
      <c r="C122" s="13"/>
      <c r="D122" s="3"/>
      <c r="E122" s="3"/>
      <c r="F122" s="3"/>
      <c r="G122" s="3"/>
      <c r="H122" s="3"/>
    </row>
    <row r="123" spans="1:9" x14ac:dyDescent="0.25">
      <c r="A123" s="1" t="s">
        <v>8</v>
      </c>
      <c r="B123" s="3"/>
      <c r="C123" s="13"/>
      <c r="D123" s="3"/>
      <c r="E123" s="3"/>
      <c r="F123" s="3"/>
      <c r="G123" s="3"/>
      <c r="H123" s="3"/>
    </row>
    <row r="124" spans="1:9" x14ac:dyDescent="0.25">
      <c r="A124" s="7" t="s">
        <v>5</v>
      </c>
      <c r="B124" s="6" t="s">
        <v>9</v>
      </c>
      <c r="C124" s="9" t="s">
        <v>10</v>
      </c>
      <c r="D124" s="6" t="s">
        <v>6</v>
      </c>
      <c r="E124" s="6" t="s">
        <v>2</v>
      </c>
      <c r="F124" s="6" t="s">
        <v>12</v>
      </c>
      <c r="G124" s="6" t="s">
        <v>11</v>
      </c>
      <c r="H124" s="7" t="s">
        <v>13</v>
      </c>
    </row>
    <row r="125" spans="1:9" x14ac:dyDescent="0.25">
      <c r="A125" t="s">
        <v>192</v>
      </c>
      <c r="B125" t="s">
        <v>184</v>
      </c>
      <c r="C125" s="10">
        <v>1</v>
      </c>
      <c r="D125" t="s">
        <v>7</v>
      </c>
      <c r="E125" t="s">
        <v>3</v>
      </c>
      <c r="G125" s="16" t="s">
        <v>38</v>
      </c>
      <c r="H125" t="s">
        <v>14</v>
      </c>
    </row>
    <row r="126" spans="1:9" x14ac:dyDescent="0.25">
      <c r="A126" t="s">
        <v>73</v>
      </c>
      <c r="B126" t="s">
        <v>73</v>
      </c>
      <c r="C126" s="10">
        <v>6.68</v>
      </c>
      <c r="D126" t="s">
        <v>7</v>
      </c>
      <c r="E126" t="s">
        <v>3</v>
      </c>
      <c r="G126" s="16" t="s">
        <v>38</v>
      </c>
      <c r="H126" t="s">
        <v>16</v>
      </c>
      <c r="I126" s="19"/>
    </row>
    <row r="127" spans="1:9" x14ac:dyDescent="0.25">
      <c r="A127" t="s">
        <v>132</v>
      </c>
      <c r="B127" t="s">
        <v>131</v>
      </c>
      <c r="C127" s="11">
        <v>1.82</v>
      </c>
      <c r="D127" t="s">
        <v>7</v>
      </c>
      <c r="E127" t="s">
        <v>3</v>
      </c>
      <c r="G127" s="16" t="s">
        <v>38</v>
      </c>
      <c r="H127" t="s">
        <v>16</v>
      </c>
    </row>
    <row r="128" spans="1:9" x14ac:dyDescent="0.25">
      <c r="A128" t="s">
        <v>134</v>
      </c>
      <c r="B128" t="s">
        <v>133</v>
      </c>
      <c r="C128" s="11">
        <v>0.19900000000000001</v>
      </c>
      <c r="D128" s="3" t="s">
        <v>75</v>
      </c>
      <c r="E128" t="s">
        <v>15</v>
      </c>
      <c r="G128" s="16" t="s">
        <v>38</v>
      </c>
      <c r="H128" t="s">
        <v>16</v>
      </c>
    </row>
    <row r="129" spans="1:8" x14ac:dyDescent="0.25">
      <c r="A129" t="s">
        <v>185</v>
      </c>
      <c r="B129" t="s">
        <v>186</v>
      </c>
      <c r="C129" s="11">
        <v>0.96399999999999997</v>
      </c>
      <c r="D129" t="s">
        <v>187</v>
      </c>
      <c r="E129" t="s">
        <v>15</v>
      </c>
      <c r="G129" s="16" t="s">
        <v>39</v>
      </c>
      <c r="H129" t="s">
        <v>16</v>
      </c>
    </row>
    <row r="130" spans="1:8" x14ac:dyDescent="0.25">
      <c r="A130" t="s">
        <v>138</v>
      </c>
      <c r="B130" t="s">
        <v>137</v>
      </c>
      <c r="C130" s="11">
        <v>-25.6</v>
      </c>
      <c r="D130" t="s">
        <v>23</v>
      </c>
      <c r="E130" t="s">
        <v>15</v>
      </c>
      <c r="G130" s="16" t="s">
        <v>39</v>
      </c>
      <c r="H130" t="s">
        <v>16</v>
      </c>
    </row>
    <row r="131" spans="1:8" x14ac:dyDescent="0.25">
      <c r="A131" t="s">
        <v>136</v>
      </c>
      <c r="B131" t="s">
        <v>135</v>
      </c>
      <c r="C131" s="12">
        <v>-5.6400000000000005E-4</v>
      </c>
      <c r="D131" t="s">
        <v>7</v>
      </c>
      <c r="E131" t="s">
        <v>15</v>
      </c>
      <c r="G131" s="16" t="s">
        <v>39</v>
      </c>
      <c r="H131" t="s">
        <v>16</v>
      </c>
    </row>
    <row r="132" spans="1:8" x14ac:dyDescent="0.25">
      <c r="B132" t="s">
        <v>18</v>
      </c>
      <c r="C132" s="11">
        <v>3.01</v>
      </c>
      <c r="D132" t="s">
        <v>7</v>
      </c>
      <c r="F132" t="s">
        <v>21</v>
      </c>
      <c r="G132" s="16" t="s">
        <v>34</v>
      </c>
      <c r="H132" t="s">
        <v>19</v>
      </c>
    </row>
    <row r="133" spans="1:8" x14ac:dyDescent="0.25">
      <c r="B133" t="s">
        <v>139</v>
      </c>
      <c r="C133" s="12">
        <v>3.0299999999999999E-10</v>
      </c>
      <c r="D133" t="s">
        <v>7</v>
      </c>
      <c r="F133" t="s">
        <v>21</v>
      </c>
      <c r="G133" s="16" t="s">
        <v>34</v>
      </c>
      <c r="H133" t="s">
        <v>19</v>
      </c>
    </row>
    <row r="134" spans="1:8" x14ac:dyDescent="0.25">
      <c r="B134" t="s">
        <v>140</v>
      </c>
      <c r="C134" s="12">
        <v>5.8799999999999998E-4</v>
      </c>
      <c r="D134" t="s">
        <v>7</v>
      </c>
      <c r="F134" t="s">
        <v>21</v>
      </c>
      <c r="G134" s="16" t="s">
        <v>34</v>
      </c>
      <c r="H134" t="s">
        <v>19</v>
      </c>
    </row>
    <row r="135" spans="1:8" x14ac:dyDescent="0.25">
      <c r="B135" t="s">
        <v>20</v>
      </c>
      <c r="C135" s="12">
        <v>4.5200000000000001E-5</v>
      </c>
      <c r="D135" t="s">
        <v>7</v>
      </c>
      <c r="F135" t="s">
        <v>21</v>
      </c>
      <c r="G135" s="16" t="s">
        <v>34</v>
      </c>
      <c r="H135" t="s">
        <v>19</v>
      </c>
    </row>
    <row r="136" spans="1:8" x14ac:dyDescent="0.25">
      <c r="B136" t="s">
        <v>20</v>
      </c>
      <c r="C136" s="12">
        <v>6.78E-4</v>
      </c>
      <c r="D136" t="s">
        <v>7</v>
      </c>
      <c r="F136" t="s">
        <v>21</v>
      </c>
      <c r="G136" s="16" t="s">
        <v>34</v>
      </c>
      <c r="H136" t="s">
        <v>19</v>
      </c>
    </row>
    <row r="137" spans="1:8" x14ac:dyDescent="0.25">
      <c r="B137" t="s">
        <v>141</v>
      </c>
      <c r="C137" s="12">
        <v>4.4500000000000001E-11</v>
      </c>
      <c r="D137" t="s">
        <v>7</v>
      </c>
      <c r="F137" t="s">
        <v>21</v>
      </c>
      <c r="G137" s="16" t="s">
        <v>34</v>
      </c>
      <c r="H137" t="s">
        <v>19</v>
      </c>
    </row>
    <row r="138" spans="1:8" x14ac:dyDescent="0.25">
      <c r="B138" t="s">
        <v>142</v>
      </c>
      <c r="C138" s="12">
        <v>1.08E-9</v>
      </c>
      <c r="D138" t="s">
        <v>7</v>
      </c>
      <c r="F138" t="s">
        <v>21</v>
      </c>
      <c r="G138" s="16" t="s">
        <v>34</v>
      </c>
      <c r="H138" t="s">
        <v>19</v>
      </c>
    </row>
    <row r="139" spans="1:8" x14ac:dyDescent="0.25">
      <c r="B139" t="s">
        <v>143</v>
      </c>
      <c r="C139" s="12">
        <v>1.2300000000000001E-4</v>
      </c>
      <c r="D139" t="s">
        <v>7</v>
      </c>
      <c r="F139" t="s">
        <v>21</v>
      </c>
      <c r="G139" s="16" t="s">
        <v>34</v>
      </c>
      <c r="H139" t="s">
        <v>19</v>
      </c>
    </row>
    <row r="140" spans="1:8" x14ac:dyDescent="0.25">
      <c r="B140" t="s">
        <v>144</v>
      </c>
      <c r="C140" s="12">
        <v>3.1100000000000001E-8</v>
      </c>
      <c r="D140" t="s">
        <v>7</v>
      </c>
      <c r="F140" t="s">
        <v>21</v>
      </c>
      <c r="G140" s="16" t="s">
        <v>34</v>
      </c>
      <c r="H140" t="s">
        <v>19</v>
      </c>
    </row>
    <row r="141" spans="1:8" x14ac:dyDescent="0.25">
      <c r="B141" t="s">
        <v>145</v>
      </c>
      <c r="C141" s="12">
        <v>1.8699999999999999E-8</v>
      </c>
      <c r="D141" t="s">
        <v>7</v>
      </c>
      <c r="F141" t="s">
        <v>21</v>
      </c>
      <c r="G141" s="16" t="s">
        <v>34</v>
      </c>
      <c r="H141" t="s">
        <v>19</v>
      </c>
    </row>
    <row r="142" spans="1:8" x14ac:dyDescent="0.25">
      <c r="B142" t="s">
        <v>149</v>
      </c>
      <c r="C142" s="12">
        <v>1.31E-5</v>
      </c>
      <c r="D142" t="s">
        <v>7</v>
      </c>
      <c r="F142" t="s">
        <v>21</v>
      </c>
      <c r="G142" s="16" t="s">
        <v>34</v>
      </c>
      <c r="H142" t="s">
        <v>19</v>
      </c>
    </row>
    <row r="143" spans="1:8" x14ac:dyDescent="0.25">
      <c r="B143" t="s">
        <v>119</v>
      </c>
      <c r="C143" s="12">
        <v>4.1799999999999997E-8</v>
      </c>
      <c r="D143" t="s">
        <v>7</v>
      </c>
      <c r="F143" t="s">
        <v>21</v>
      </c>
      <c r="G143" s="16" t="s">
        <v>34</v>
      </c>
      <c r="H143" t="s">
        <v>19</v>
      </c>
    </row>
    <row r="144" spans="1:8" x14ac:dyDescent="0.25">
      <c r="B144" t="s">
        <v>146</v>
      </c>
      <c r="C144" s="12">
        <v>9.3299999999999995E-8</v>
      </c>
      <c r="D144" t="s">
        <v>7</v>
      </c>
      <c r="F144" t="s">
        <v>21</v>
      </c>
      <c r="G144" s="16" t="s">
        <v>34</v>
      </c>
      <c r="H144" t="s">
        <v>19</v>
      </c>
    </row>
    <row r="145" spans="1:8" x14ac:dyDescent="0.25">
      <c r="B145" t="s">
        <v>128</v>
      </c>
      <c r="C145" s="12">
        <v>4.3599999999999998E-6</v>
      </c>
      <c r="D145" t="s">
        <v>7</v>
      </c>
      <c r="F145" t="s">
        <v>21</v>
      </c>
      <c r="G145" s="16" t="s">
        <v>34</v>
      </c>
      <c r="H145" t="s">
        <v>19</v>
      </c>
    </row>
    <row r="146" spans="1:8" x14ac:dyDescent="0.25">
      <c r="B146" t="s">
        <v>147</v>
      </c>
      <c r="C146" s="12">
        <v>1.5200000000000001E-6</v>
      </c>
      <c r="D146" t="s">
        <v>7</v>
      </c>
      <c r="F146" t="s">
        <v>21</v>
      </c>
      <c r="G146" s="16" t="s">
        <v>34</v>
      </c>
      <c r="H146" t="s">
        <v>19</v>
      </c>
    </row>
    <row r="147" spans="1:8" x14ac:dyDescent="0.25">
      <c r="B147" t="s">
        <v>148</v>
      </c>
      <c r="C147" s="12">
        <v>5.2899999999999997E-8</v>
      </c>
      <c r="D147" t="s">
        <v>7</v>
      </c>
      <c r="F147" t="s">
        <v>21</v>
      </c>
      <c r="G147" s="16" t="s">
        <v>34</v>
      </c>
      <c r="H147" t="s">
        <v>19</v>
      </c>
    </row>
    <row r="148" spans="1:8" x14ac:dyDescent="0.25">
      <c r="B148" t="s">
        <v>150</v>
      </c>
      <c r="C148" s="12">
        <v>5.2899999999999997E-8</v>
      </c>
      <c r="D148" t="s">
        <v>7</v>
      </c>
      <c r="F148" t="s">
        <v>21</v>
      </c>
      <c r="G148" s="16" t="s">
        <v>34</v>
      </c>
      <c r="H148" t="s">
        <v>19</v>
      </c>
    </row>
    <row r="149" spans="1:8" x14ac:dyDescent="0.25">
      <c r="B149" t="s">
        <v>116</v>
      </c>
      <c r="C149" s="12">
        <v>9.95E-7</v>
      </c>
      <c r="D149" t="s">
        <v>7</v>
      </c>
      <c r="F149" t="s">
        <v>21</v>
      </c>
      <c r="G149" s="16" t="s">
        <v>34</v>
      </c>
      <c r="H149" t="s">
        <v>19</v>
      </c>
    </row>
    <row r="150" spans="1:8" x14ac:dyDescent="0.25">
      <c r="B150" t="s">
        <v>123</v>
      </c>
      <c r="C150" s="12">
        <v>1.12E-7</v>
      </c>
      <c r="D150" t="s">
        <v>7</v>
      </c>
      <c r="F150" t="s">
        <v>21</v>
      </c>
      <c r="G150" s="16" t="s">
        <v>34</v>
      </c>
      <c r="H150" t="s">
        <v>19</v>
      </c>
    </row>
    <row r="151" spans="1:8" x14ac:dyDescent="0.25">
      <c r="B151" t="s">
        <v>124</v>
      </c>
      <c r="C151" s="12">
        <v>4.0399999999999998E-8</v>
      </c>
      <c r="D151" t="s">
        <v>7</v>
      </c>
      <c r="F151" t="s">
        <v>21</v>
      </c>
      <c r="G151" s="16" t="s">
        <v>34</v>
      </c>
      <c r="H151" t="s">
        <v>19</v>
      </c>
    </row>
    <row r="152" spans="1:8" x14ac:dyDescent="0.25">
      <c r="B152" t="s">
        <v>121</v>
      </c>
      <c r="C152" s="12">
        <v>4.3599999999999998E-9</v>
      </c>
      <c r="D152" t="s">
        <v>7</v>
      </c>
      <c r="F152" t="s">
        <v>21</v>
      </c>
      <c r="G152" s="16" t="s">
        <v>34</v>
      </c>
      <c r="H152" t="s">
        <v>19</v>
      </c>
    </row>
    <row r="153" spans="1:8" x14ac:dyDescent="0.25">
      <c r="A153" s="2"/>
      <c r="B153" s="2"/>
      <c r="C153" s="14"/>
      <c r="D153" s="2"/>
      <c r="E153" s="2"/>
      <c r="F153" s="2"/>
      <c r="G153" s="2"/>
      <c r="H153" s="2"/>
    </row>
    <row r="154" spans="1:8" x14ac:dyDescent="0.25">
      <c r="A154" s="18" t="s">
        <v>0</v>
      </c>
      <c r="B154" s="17" t="s">
        <v>71</v>
      </c>
      <c r="C154" s="13"/>
      <c r="D154" s="3"/>
      <c r="E154" s="3"/>
      <c r="F154" s="3"/>
      <c r="G154" s="3"/>
      <c r="H154" s="3"/>
    </row>
    <row r="155" spans="1:8" x14ac:dyDescent="0.25">
      <c r="A155" s="3" t="s">
        <v>1</v>
      </c>
      <c r="B155" s="6" t="s">
        <v>37</v>
      </c>
      <c r="C155" s="13"/>
      <c r="D155" s="3"/>
      <c r="E155" s="3"/>
      <c r="F155" s="3"/>
      <c r="G155" s="3"/>
      <c r="H155" s="3"/>
    </row>
    <row r="156" spans="1:8" x14ac:dyDescent="0.25">
      <c r="A156" s="3" t="s">
        <v>2</v>
      </c>
      <c r="B156" t="s">
        <v>3</v>
      </c>
      <c r="C156" s="13"/>
      <c r="D156" s="3"/>
      <c r="E156" s="3"/>
      <c r="F156" s="3"/>
      <c r="G156" s="3"/>
      <c r="H156" s="3"/>
    </row>
    <row r="157" spans="1:8" x14ac:dyDescent="0.25">
      <c r="A157" s="3" t="s">
        <v>4</v>
      </c>
      <c r="B157" s="8">
        <v>1</v>
      </c>
      <c r="C157" s="13"/>
      <c r="D157" s="3"/>
      <c r="E157" s="3"/>
      <c r="F157" s="3"/>
      <c r="G157" s="3"/>
      <c r="H157" s="3"/>
    </row>
    <row r="158" spans="1:8" x14ac:dyDescent="0.25">
      <c r="A158" s="3" t="s">
        <v>5</v>
      </c>
      <c r="B158" t="s">
        <v>72</v>
      </c>
      <c r="C158" s="13"/>
      <c r="D158" s="3"/>
      <c r="E158" s="3"/>
      <c r="F158" s="3"/>
      <c r="G158" s="3"/>
      <c r="H158" s="3"/>
    </row>
    <row r="159" spans="1:8" x14ac:dyDescent="0.25">
      <c r="A159" s="3" t="s">
        <v>6</v>
      </c>
      <c r="B159" t="s">
        <v>7</v>
      </c>
      <c r="C159" s="13"/>
      <c r="D159" s="3"/>
      <c r="E159" s="3"/>
      <c r="F159" s="3"/>
      <c r="G159" s="3"/>
      <c r="H159" s="3"/>
    </row>
    <row r="160" spans="1:8" x14ac:dyDescent="0.25">
      <c r="A160" s="1" t="s">
        <v>8</v>
      </c>
      <c r="B160" s="3"/>
      <c r="C160" s="13"/>
      <c r="D160" s="3"/>
      <c r="E160" s="3"/>
      <c r="F160" s="3"/>
      <c r="G160" s="3"/>
      <c r="H160" s="3"/>
    </row>
    <row r="161" spans="1:8" x14ac:dyDescent="0.25">
      <c r="A161" s="7" t="s">
        <v>5</v>
      </c>
      <c r="B161" s="6" t="s">
        <v>9</v>
      </c>
      <c r="C161" s="9" t="s">
        <v>10</v>
      </c>
      <c r="D161" s="6" t="s">
        <v>6</v>
      </c>
      <c r="E161" s="6" t="s">
        <v>2</v>
      </c>
      <c r="F161" s="6" t="s">
        <v>12</v>
      </c>
      <c r="G161" s="6" t="s">
        <v>11</v>
      </c>
      <c r="H161" s="7" t="s">
        <v>13</v>
      </c>
    </row>
    <row r="162" spans="1:8" x14ac:dyDescent="0.25">
      <c r="A162" t="s">
        <v>72</v>
      </c>
      <c r="B162" t="s">
        <v>71</v>
      </c>
      <c r="C162" s="10">
        <v>1</v>
      </c>
      <c r="D162" t="s">
        <v>7</v>
      </c>
      <c r="E162" t="s">
        <v>3</v>
      </c>
      <c r="G162" s="16" t="s">
        <v>38</v>
      </c>
      <c r="H162" t="s">
        <v>14</v>
      </c>
    </row>
    <row r="163" spans="1:8" x14ac:dyDescent="0.25">
      <c r="A163" s="19" t="s">
        <v>130</v>
      </c>
      <c r="B163" s="19" t="s">
        <v>129</v>
      </c>
      <c r="C163" s="11">
        <f>0.645</f>
        <v>0.64500000000000002</v>
      </c>
      <c r="D163" t="s">
        <v>7</v>
      </c>
      <c r="E163" t="s">
        <v>3</v>
      </c>
      <c r="F163" s="19"/>
      <c r="G163" s="21" t="s">
        <v>38</v>
      </c>
      <c r="H163" s="19" t="s">
        <v>16</v>
      </c>
    </row>
    <row r="164" spans="1:8" x14ac:dyDescent="0.25">
      <c r="A164" t="s">
        <v>43</v>
      </c>
      <c r="B164" t="s">
        <v>42</v>
      </c>
      <c r="C164" s="9">
        <v>1.613</v>
      </c>
      <c r="D164" t="s">
        <v>7</v>
      </c>
      <c r="E164" t="s">
        <v>15</v>
      </c>
      <c r="G164" s="16" t="s">
        <v>39</v>
      </c>
      <c r="H164" t="s">
        <v>16</v>
      </c>
    </row>
    <row r="165" spans="1:8" x14ac:dyDescent="0.25">
      <c r="A165" t="s">
        <v>24</v>
      </c>
      <c r="B165" t="s">
        <v>25</v>
      </c>
      <c r="C165" s="11">
        <v>3.3224838709677398</v>
      </c>
      <c r="D165" t="s">
        <v>26</v>
      </c>
      <c r="E165" t="s">
        <v>3</v>
      </c>
      <c r="G165" s="16" t="s">
        <v>39</v>
      </c>
      <c r="H165" t="s">
        <v>16</v>
      </c>
    </row>
    <row r="166" spans="1:8" x14ac:dyDescent="0.25">
      <c r="A166" t="s">
        <v>27</v>
      </c>
      <c r="B166" t="s">
        <v>35</v>
      </c>
      <c r="C166" s="11">
        <v>2.032258064516129</v>
      </c>
      <c r="D166" t="s">
        <v>7</v>
      </c>
      <c r="E166" t="s">
        <v>15</v>
      </c>
      <c r="G166" s="16" t="s">
        <v>39</v>
      </c>
      <c r="H166" t="s">
        <v>16</v>
      </c>
    </row>
    <row r="167" spans="1:8" x14ac:dyDescent="0.25">
      <c r="A167" t="s">
        <v>45</v>
      </c>
      <c r="B167" t="s">
        <v>44</v>
      </c>
      <c r="C167" s="11">
        <v>5.425806451612903E-2</v>
      </c>
      <c r="D167" t="s">
        <v>17</v>
      </c>
      <c r="E167" t="s">
        <v>15</v>
      </c>
      <c r="G167" s="16" t="s">
        <v>39</v>
      </c>
      <c r="H167" t="s">
        <v>16</v>
      </c>
    </row>
    <row r="168" spans="1:8" x14ac:dyDescent="0.25">
      <c r="A168" t="s">
        <v>47</v>
      </c>
      <c r="B168" t="s">
        <v>46</v>
      </c>
      <c r="C168" s="11">
        <v>0</v>
      </c>
      <c r="D168" t="s">
        <v>7</v>
      </c>
      <c r="E168" t="s">
        <v>15</v>
      </c>
      <c r="G168" s="16" t="s">
        <v>39</v>
      </c>
      <c r="H168" t="s">
        <v>16</v>
      </c>
    </row>
    <row r="169" spans="1:8" x14ac:dyDescent="0.25">
      <c r="B169" t="s">
        <v>48</v>
      </c>
      <c r="C169" s="12">
        <v>1.6299999999999998E-4</v>
      </c>
      <c r="D169" t="s">
        <v>7</v>
      </c>
      <c r="F169" t="s">
        <v>21</v>
      </c>
      <c r="G169" s="16" t="s">
        <v>34</v>
      </c>
      <c r="H169" t="s">
        <v>19</v>
      </c>
    </row>
    <row r="170" spans="1:8" x14ac:dyDescent="0.25">
      <c r="B170" t="s">
        <v>20</v>
      </c>
      <c r="C170" s="12">
        <v>4.5293548387096772E-4</v>
      </c>
      <c r="D170" t="s">
        <v>7</v>
      </c>
      <c r="F170" t="s">
        <v>21</v>
      </c>
      <c r="G170" s="16" t="s">
        <v>34</v>
      </c>
      <c r="H170" t="s">
        <v>19</v>
      </c>
    </row>
    <row r="171" spans="1:8" x14ac:dyDescent="0.25">
      <c r="B171" t="s">
        <v>18</v>
      </c>
      <c r="C171" s="11">
        <v>1.1612903225806452</v>
      </c>
      <c r="D171" t="s">
        <v>7</v>
      </c>
      <c r="F171" t="s">
        <v>21</v>
      </c>
      <c r="G171" s="16" t="s">
        <v>34</v>
      </c>
      <c r="H171" t="s">
        <v>19</v>
      </c>
    </row>
    <row r="172" spans="1:8" x14ac:dyDescent="0.25">
      <c r="A172" s="2"/>
      <c r="B172" s="2"/>
      <c r="C172" s="14"/>
      <c r="D172" s="2"/>
      <c r="E172" s="2"/>
      <c r="F172" s="2"/>
      <c r="G172" s="2"/>
      <c r="H172" s="2"/>
    </row>
    <row r="173" spans="1:8" x14ac:dyDescent="0.25">
      <c r="A173" s="18" t="s">
        <v>0</v>
      </c>
      <c r="B173" s="17" t="s">
        <v>188</v>
      </c>
      <c r="C173" s="13"/>
      <c r="D173" s="3"/>
      <c r="E173" s="3"/>
      <c r="F173" s="3"/>
      <c r="G173" s="3"/>
      <c r="H173" s="3"/>
    </row>
    <row r="174" spans="1:8" x14ac:dyDescent="0.25">
      <c r="A174" s="3" t="s">
        <v>1</v>
      </c>
      <c r="B174" s="6" t="s">
        <v>37</v>
      </c>
      <c r="C174" s="13"/>
      <c r="D174" s="3"/>
      <c r="E174" s="3"/>
      <c r="F174" s="3"/>
      <c r="G174" s="3"/>
      <c r="H174" s="3"/>
    </row>
    <row r="175" spans="1:8" x14ac:dyDescent="0.25">
      <c r="A175" s="3" t="s">
        <v>2</v>
      </c>
      <c r="B175" t="s">
        <v>3</v>
      </c>
      <c r="C175" s="13"/>
      <c r="D175" s="3"/>
      <c r="E175" s="3"/>
      <c r="F175" s="3"/>
      <c r="G175" s="3"/>
      <c r="H175" s="3"/>
    </row>
    <row r="176" spans="1:8" x14ac:dyDescent="0.25">
      <c r="A176" s="3" t="s">
        <v>4</v>
      </c>
      <c r="B176" s="8">
        <v>1</v>
      </c>
      <c r="C176" s="13"/>
      <c r="D176" s="3"/>
      <c r="E176" s="3"/>
      <c r="F176" s="3"/>
      <c r="G176" s="3"/>
      <c r="H176" s="3"/>
    </row>
    <row r="177" spans="1:8" x14ac:dyDescent="0.25">
      <c r="A177" s="3" t="s">
        <v>5</v>
      </c>
      <c r="B177" t="s">
        <v>191</v>
      </c>
      <c r="C177" s="13"/>
      <c r="D177" s="3"/>
      <c r="E177" s="3"/>
      <c r="F177" s="3"/>
      <c r="G177" s="3"/>
      <c r="H177" s="3"/>
    </row>
    <row r="178" spans="1:8" x14ac:dyDescent="0.25">
      <c r="A178" s="3" t="s">
        <v>6</v>
      </c>
      <c r="B178" t="s">
        <v>7</v>
      </c>
      <c r="C178" s="13"/>
      <c r="D178" s="3"/>
      <c r="E178" s="3"/>
      <c r="F178" s="3"/>
      <c r="G178" s="3"/>
      <c r="H178" s="3"/>
    </row>
    <row r="179" spans="1:8" x14ac:dyDescent="0.25">
      <c r="A179" s="1" t="s">
        <v>8</v>
      </c>
      <c r="B179" s="3"/>
      <c r="C179" s="13"/>
      <c r="D179" s="3"/>
      <c r="E179" s="3"/>
      <c r="F179" s="3"/>
      <c r="G179" s="3"/>
      <c r="H179" s="3"/>
    </row>
    <row r="180" spans="1:8" x14ac:dyDescent="0.25">
      <c r="A180" s="7" t="s">
        <v>5</v>
      </c>
      <c r="B180" s="6" t="s">
        <v>9</v>
      </c>
      <c r="C180" s="9" t="s">
        <v>10</v>
      </c>
      <c r="D180" s="6" t="s">
        <v>6</v>
      </c>
      <c r="E180" s="6" t="s">
        <v>2</v>
      </c>
      <c r="F180" s="6" t="s">
        <v>12</v>
      </c>
      <c r="G180" s="6" t="s">
        <v>11</v>
      </c>
      <c r="H180" s="7" t="s">
        <v>13</v>
      </c>
    </row>
    <row r="181" spans="1:8" x14ac:dyDescent="0.25">
      <c r="A181" t="s">
        <v>191</v>
      </c>
      <c r="B181" t="s">
        <v>188</v>
      </c>
      <c r="C181" s="10">
        <v>1</v>
      </c>
      <c r="D181" t="s">
        <v>7</v>
      </c>
      <c r="E181" t="s">
        <v>3</v>
      </c>
      <c r="G181" s="16" t="s">
        <v>38</v>
      </c>
      <c r="H181" t="s">
        <v>14</v>
      </c>
    </row>
    <row r="182" spans="1:8" x14ac:dyDescent="0.25">
      <c r="A182" s="19" t="s">
        <v>192</v>
      </c>
      <c r="B182" s="19" t="s">
        <v>184</v>
      </c>
      <c r="C182" s="11">
        <f>0.645</f>
        <v>0.64500000000000002</v>
      </c>
      <c r="D182" t="s">
        <v>7</v>
      </c>
      <c r="E182" t="s">
        <v>3</v>
      </c>
      <c r="F182" s="19"/>
      <c r="G182" s="21" t="s">
        <v>38</v>
      </c>
      <c r="H182" s="19" t="s">
        <v>16</v>
      </c>
    </row>
    <row r="183" spans="1:8" x14ac:dyDescent="0.25">
      <c r="A183" t="s">
        <v>43</v>
      </c>
      <c r="B183" t="s">
        <v>42</v>
      </c>
      <c r="C183" s="9">
        <v>1.613</v>
      </c>
      <c r="D183" t="s">
        <v>7</v>
      </c>
      <c r="E183" t="s">
        <v>15</v>
      </c>
      <c r="G183" s="16" t="s">
        <v>39</v>
      </c>
      <c r="H183" t="s">
        <v>16</v>
      </c>
    </row>
    <row r="184" spans="1:8" x14ac:dyDescent="0.25">
      <c r="A184" t="s">
        <v>185</v>
      </c>
      <c r="B184" t="s">
        <v>186</v>
      </c>
      <c r="C184" s="11">
        <v>3.3224838709677398</v>
      </c>
      <c r="D184" t="s">
        <v>26</v>
      </c>
      <c r="E184" t="s">
        <v>15</v>
      </c>
      <c r="G184" s="16" t="s">
        <v>39</v>
      </c>
      <c r="H184" t="s">
        <v>16</v>
      </c>
    </row>
    <row r="185" spans="1:8" x14ac:dyDescent="0.25">
      <c r="A185" t="s">
        <v>27</v>
      </c>
      <c r="B185" t="s">
        <v>35</v>
      </c>
      <c r="C185" s="11">
        <v>2.032258064516129</v>
      </c>
      <c r="D185" t="s">
        <v>7</v>
      </c>
      <c r="E185" t="s">
        <v>15</v>
      </c>
      <c r="G185" s="16" t="s">
        <v>39</v>
      </c>
      <c r="H185" t="s">
        <v>16</v>
      </c>
    </row>
    <row r="186" spans="1:8" x14ac:dyDescent="0.25">
      <c r="A186" t="s">
        <v>45</v>
      </c>
      <c r="B186" t="s">
        <v>44</v>
      </c>
      <c r="C186" s="11">
        <v>5.425806451612903E-2</v>
      </c>
      <c r="D186" t="s">
        <v>17</v>
      </c>
      <c r="E186" t="s">
        <v>15</v>
      </c>
      <c r="G186" s="16" t="s">
        <v>39</v>
      </c>
      <c r="H186" t="s">
        <v>16</v>
      </c>
    </row>
    <row r="187" spans="1:8" x14ac:dyDescent="0.25">
      <c r="A187" t="s">
        <v>47</v>
      </c>
      <c r="B187" t="s">
        <v>46</v>
      </c>
      <c r="C187" s="11">
        <v>0</v>
      </c>
      <c r="D187" t="s">
        <v>7</v>
      </c>
      <c r="E187" t="s">
        <v>15</v>
      </c>
      <c r="G187" s="16" t="s">
        <v>39</v>
      </c>
      <c r="H187" t="s">
        <v>16</v>
      </c>
    </row>
    <row r="188" spans="1:8" x14ac:dyDescent="0.25">
      <c r="B188" t="s">
        <v>48</v>
      </c>
      <c r="C188" s="12">
        <v>1.6299999999999998E-4</v>
      </c>
      <c r="D188" t="s">
        <v>7</v>
      </c>
      <c r="F188" t="s">
        <v>21</v>
      </c>
      <c r="G188" s="16" t="s">
        <v>34</v>
      </c>
      <c r="H188" t="s">
        <v>19</v>
      </c>
    </row>
    <row r="189" spans="1:8" x14ac:dyDescent="0.25">
      <c r="B189" t="s">
        <v>20</v>
      </c>
      <c r="C189" s="12">
        <v>4.5293548387096772E-4</v>
      </c>
      <c r="D189" t="s">
        <v>7</v>
      </c>
      <c r="F189" t="s">
        <v>21</v>
      </c>
      <c r="G189" s="16" t="s">
        <v>34</v>
      </c>
      <c r="H189" t="s">
        <v>19</v>
      </c>
    </row>
    <row r="190" spans="1:8" x14ac:dyDescent="0.25">
      <c r="B190" t="s">
        <v>18</v>
      </c>
      <c r="C190" s="11">
        <v>1.1612903225806452</v>
      </c>
      <c r="D190" t="s">
        <v>7</v>
      </c>
      <c r="F190" t="s">
        <v>21</v>
      </c>
      <c r="G190" s="16" t="s">
        <v>34</v>
      </c>
      <c r="H190" t="s">
        <v>19</v>
      </c>
    </row>
    <row r="191" spans="1:8" x14ac:dyDescent="0.25">
      <c r="A191" s="2"/>
      <c r="B191" s="2"/>
      <c r="C191" s="14"/>
      <c r="D191" s="2"/>
      <c r="E191" s="2"/>
      <c r="F191" s="2"/>
      <c r="G191" s="2"/>
      <c r="H191" s="2"/>
    </row>
    <row r="192" spans="1:8" x14ac:dyDescent="0.25">
      <c r="A192" s="18" t="s">
        <v>0</v>
      </c>
      <c r="B192" s="17" t="s">
        <v>65</v>
      </c>
      <c r="C192" s="13"/>
      <c r="D192" s="3"/>
      <c r="E192" s="3"/>
      <c r="F192" s="3"/>
      <c r="G192" s="3"/>
      <c r="H192" s="3"/>
    </row>
    <row r="193" spans="1:8" x14ac:dyDescent="0.25">
      <c r="A193" s="3" t="s">
        <v>1</v>
      </c>
      <c r="B193" s="6" t="s">
        <v>37</v>
      </c>
      <c r="C193" s="13"/>
      <c r="D193" s="3"/>
      <c r="E193" s="3"/>
      <c r="F193" s="3"/>
      <c r="G193" s="3"/>
      <c r="H193" s="3"/>
    </row>
    <row r="194" spans="1:8" x14ac:dyDescent="0.25">
      <c r="A194" s="3" t="s">
        <v>2</v>
      </c>
      <c r="B194" t="s">
        <v>3</v>
      </c>
      <c r="C194" s="13"/>
      <c r="D194" s="3"/>
      <c r="E194" s="3"/>
      <c r="F194" s="3"/>
      <c r="G194" s="3"/>
      <c r="H194" s="3"/>
    </row>
    <row r="195" spans="1:8" x14ac:dyDescent="0.25">
      <c r="A195" s="3" t="s">
        <v>4</v>
      </c>
      <c r="B195" s="8">
        <v>1</v>
      </c>
      <c r="C195" s="13"/>
      <c r="D195" s="3"/>
      <c r="E195" s="3"/>
      <c r="F195" s="3"/>
      <c r="G195" s="3"/>
      <c r="H195" s="3"/>
    </row>
    <row r="196" spans="1:8" x14ac:dyDescent="0.25">
      <c r="A196" s="3" t="s">
        <v>5</v>
      </c>
      <c r="B196" t="s">
        <v>66</v>
      </c>
      <c r="C196" s="13"/>
      <c r="D196" s="3"/>
      <c r="E196" s="3"/>
      <c r="F196" s="3"/>
      <c r="G196" s="3"/>
      <c r="H196" s="3"/>
    </row>
    <row r="197" spans="1:8" x14ac:dyDescent="0.25">
      <c r="A197" s="3" t="s">
        <v>6</v>
      </c>
      <c r="B197" t="s">
        <v>7</v>
      </c>
      <c r="C197" s="13"/>
      <c r="D197" s="3"/>
      <c r="E197" s="3"/>
      <c r="F197" s="3"/>
      <c r="G197" s="3"/>
      <c r="H197" s="3"/>
    </row>
    <row r="198" spans="1:8" x14ac:dyDescent="0.25">
      <c r="A198" s="1" t="s">
        <v>8</v>
      </c>
      <c r="B198" s="3"/>
      <c r="C198" s="13"/>
      <c r="D198" s="3"/>
      <c r="E198" s="3"/>
      <c r="F198" s="3"/>
      <c r="G198" s="3"/>
      <c r="H198" s="3"/>
    </row>
    <row r="199" spans="1:8" x14ac:dyDescent="0.25">
      <c r="A199" s="7" t="s">
        <v>5</v>
      </c>
      <c r="B199" s="6" t="s">
        <v>9</v>
      </c>
      <c r="C199" s="9" t="s">
        <v>10</v>
      </c>
      <c r="D199" s="6" t="s">
        <v>6</v>
      </c>
      <c r="E199" s="6" t="s">
        <v>2</v>
      </c>
      <c r="F199" s="6" t="s">
        <v>12</v>
      </c>
      <c r="G199" s="6" t="s">
        <v>11</v>
      </c>
      <c r="H199" s="7" t="s">
        <v>13</v>
      </c>
    </row>
    <row r="200" spans="1:8" x14ac:dyDescent="0.25">
      <c r="A200" t="s">
        <v>66</v>
      </c>
      <c r="B200" t="s">
        <v>65</v>
      </c>
      <c r="C200" s="10">
        <v>1</v>
      </c>
      <c r="D200" t="s">
        <v>7</v>
      </c>
      <c r="E200" t="s">
        <v>3</v>
      </c>
      <c r="G200" s="16" t="s">
        <v>38</v>
      </c>
      <c r="H200" t="s">
        <v>14</v>
      </c>
    </row>
    <row r="201" spans="1:8" x14ac:dyDescent="0.25">
      <c r="A201" t="s">
        <v>70</v>
      </c>
      <c r="B201" t="s">
        <v>69</v>
      </c>
      <c r="C201" s="10">
        <v>3.1</v>
      </c>
      <c r="D201" t="s">
        <v>7</v>
      </c>
      <c r="E201" t="s">
        <v>3</v>
      </c>
      <c r="G201" s="16" t="s">
        <v>38</v>
      </c>
      <c r="H201" t="s">
        <v>16</v>
      </c>
    </row>
    <row r="202" spans="1:8" x14ac:dyDescent="0.25">
      <c r="A202" t="s">
        <v>27</v>
      </c>
      <c r="B202" t="s">
        <v>35</v>
      </c>
      <c r="C202" s="11">
        <v>6.2</v>
      </c>
      <c r="D202" t="s">
        <v>7</v>
      </c>
      <c r="E202" t="s">
        <v>15</v>
      </c>
      <c r="G202" s="16" t="s">
        <v>39</v>
      </c>
      <c r="H202" t="s">
        <v>16</v>
      </c>
    </row>
    <row r="203" spans="1:8" x14ac:dyDescent="0.25">
      <c r="A203" t="s">
        <v>50</v>
      </c>
      <c r="B203" t="s">
        <v>49</v>
      </c>
      <c r="C203" s="11">
        <v>4.6899999999999997E-2</v>
      </c>
      <c r="D203" t="s">
        <v>7</v>
      </c>
      <c r="E203" t="s">
        <v>15</v>
      </c>
      <c r="G203" s="16" t="s">
        <v>39</v>
      </c>
      <c r="H203" t="s">
        <v>16</v>
      </c>
    </row>
    <row r="204" spans="1:8" x14ac:dyDescent="0.25">
      <c r="A204" t="s">
        <v>32</v>
      </c>
      <c r="B204" t="s">
        <v>33</v>
      </c>
      <c r="C204" s="11">
        <v>1.6000000000000001E-3</v>
      </c>
      <c r="D204" t="s">
        <v>7</v>
      </c>
      <c r="E204" t="s">
        <v>15</v>
      </c>
      <c r="G204" s="16" t="s">
        <v>39</v>
      </c>
      <c r="H204" t="s">
        <v>16</v>
      </c>
    </row>
    <row r="205" spans="1:8" x14ac:dyDescent="0.25">
      <c r="A205" t="s">
        <v>24</v>
      </c>
      <c r="B205" t="s">
        <v>25</v>
      </c>
      <c r="C205" s="11">
        <v>0.50509999999999999</v>
      </c>
      <c r="D205" t="s">
        <v>26</v>
      </c>
      <c r="E205" t="s">
        <v>3</v>
      </c>
      <c r="G205" s="16" t="s">
        <v>39</v>
      </c>
      <c r="H205" t="s">
        <v>16</v>
      </c>
    </row>
    <row r="206" spans="1:8" x14ac:dyDescent="0.25">
      <c r="A206" t="s">
        <v>47</v>
      </c>
      <c r="B206" t="s">
        <v>46</v>
      </c>
      <c r="C206" s="11">
        <v>0</v>
      </c>
      <c r="D206" t="s">
        <v>7</v>
      </c>
      <c r="E206" t="s">
        <v>15</v>
      </c>
      <c r="G206" s="16" t="s">
        <v>39</v>
      </c>
      <c r="H206" t="s">
        <v>16</v>
      </c>
    </row>
    <row r="207" spans="1:8" x14ac:dyDescent="0.25">
      <c r="B207" t="s">
        <v>51</v>
      </c>
      <c r="C207" s="12">
        <v>3.2000000000000003E-4</v>
      </c>
      <c r="D207" t="s">
        <v>7</v>
      </c>
      <c r="F207" t="s">
        <v>21</v>
      </c>
      <c r="G207" s="16" t="s">
        <v>34</v>
      </c>
      <c r="H207" t="s">
        <v>19</v>
      </c>
    </row>
    <row r="208" spans="1:8" x14ac:dyDescent="0.25">
      <c r="A208" s="2"/>
      <c r="B208" s="2"/>
      <c r="C208" s="14"/>
      <c r="D208" s="2"/>
      <c r="E208" s="2"/>
      <c r="F208" s="2"/>
      <c r="G208" s="2"/>
      <c r="H208" s="2"/>
    </row>
    <row r="209" spans="1:8" x14ac:dyDescent="0.25">
      <c r="A209" s="18" t="s">
        <v>0</v>
      </c>
      <c r="B209" s="17" t="s">
        <v>67</v>
      </c>
      <c r="C209" s="13"/>
      <c r="D209" s="3"/>
      <c r="E209" s="3"/>
      <c r="F209" s="3"/>
      <c r="G209" s="3"/>
      <c r="H209" s="3"/>
    </row>
    <row r="210" spans="1:8" x14ac:dyDescent="0.25">
      <c r="A210" s="3" t="s">
        <v>1</v>
      </c>
      <c r="B210" s="6" t="s">
        <v>37</v>
      </c>
      <c r="C210" s="13"/>
      <c r="D210" s="3"/>
      <c r="E210" s="3"/>
      <c r="F210" s="3"/>
      <c r="G210" s="3"/>
      <c r="H210" s="3"/>
    </row>
    <row r="211" spans="1:8" x14ac:dyDescent="0.25">
      <c r="A211" s="3" t="s">
        <v>2</v>
      </c>
      <c r="B211" t="s">
        <v>3</v>
      </c>
      <c r="C211" s="13"/>
      <c r="D211" s="3"/>
      <c r="E211" s="3"/>
      <c r="F211" s="3"/>
      <c r="G211" s="3"/>
      <c r="H211" s="3"/>
    </row>
    <row r="212" spans="1:8" x14ac:dyDescent="0.25">
      <c r="A212" s="3" t="s">
        <v>4</v>
      </c>
      <c r="B212" s="8">
        <v>1</v>
      </c>
      <c r="C212" s="13"/>
      <c r="D212" s="3"/>
      <c r="E212" s="3"/>
      <c r="F212" s="3"/>
      <c r="G212" s="3"/>
      <c r="H212" s="3"/>
    </row>
    <row r="213" spans="1:8" x14ac:dyDescent="0.25">
      <c r="A213" s="3" t="s">
        <v>5</v>
      </c>
      <c r="B213" t="s">
        <v>68</v>
      </c>
      <c r="C213" s="13"/>
      <c r="D213" s="3"/>
      <c r="E213" s="3"/>
      <c r="F213" s="3"/>
      <c r="G213" s="3"/>
      <c r="H213" s="3"/>
    </row>
    <row r="214" spans="1:8" x14ac:dyDescent="0.25">
      <c r="A214" s="3" t="s">
        <v>6</v>
      </c>
      <c r="B214" t="s">
        <v>7</v>
      </c>
      <c r="C214" s="13"/>
      <c r="D214" s="3"/>
      <c r="E214" s="3"/>
      <c r="F214" s="3"/>
      <c r="G214" s="3"/>
      <c r="H214" s="3"/>
    </row>
    <row r="215" spans="1:8" x14ac:dyDescent="0.25">
      <c r="A215" s="1" t="s">
        <v>8</v>
      </c>
      <c r="B215" s="3"/>
      <c r="C215" s="13"/>
      <c r="D215" s="3"/>
      <c r="E215" s="3"/>
      <c r="F215" s="3"/>
      <c r="G215" s="3"/>
      <c r="H215" s="3"/>
    </row>
    <row r="216" spans="1:8" x14ac:dyDescent="0.25">
      <c r="A216" s="7" t="s">
        <v>5</v>
      </c>
      <c r="B216" s="6" t="s">
        <v>9</v>
      </c>
      <c r="C216" s="9" t="s">
        <v>10</v>
      </c>
      <c r="D216" s="6" t="s">
        <v>6</v>
      </c>
      <c r="E216" s="6" t="s">
        <v>2</v>
      </c>
      <c r="F216" s="6" t="s">
        <v>12</v>
      </c>
      <c r="G216" s="6" t="s">
        <v>11</v>
      </c>
      <c r="H216" s="7" t="s">
        <v>13</v>
      </c>
    </row>
    <row r="217" spans="1:8" x14ac:dyDescent="0.25">
      <c r="A217" t="s">
        <v>68</v>
      </c>
      <c r="B217" t="s">
        <v>67</v>
      </c>
      <c r="C217" s="10">
        <v>1</v>
      </c>
      <c r="D217" t="s">
        <v>7</v>
      </c>
      <c r="E217" t="s">
        <v>3</v>
      </c>
      <c r="G217" s="16" t="s">
        <v>38</v>
      </c>
      <c r="H217" t="s">
        <v>14</v>
      </c>
    </row>
    <row r="218" spans="1:8" x14ac:dyDescent="0.25">
      <c r="A218" s="19" t="s">
        <v>72</v>
      </c>
      <c r="B218" s="19" t="s">
        <v>71</v>
      </c>
      <c r="C218" s="20">
        <v>3.1</v>
      </c>
      <c r="D218" s="19" t="s">
        <v>7</v>
      </c>
      <c r="E218" s="19" t="s">
        <v>3</v>
      </c>
      <c r="F218" s="19"/>
      <c r="G218" s="21" t="s">
        <v>38</v>
      </c>
      <c r="H218" s="19" t="s">
        <v>16</v>
      </c>
    </row>
    <row r="219" spans="1:8" x14ac:dyDescent="0.25">
      <c r="A219" t="s">
        <v>27</v>
      </c>
      <c r="B219" t="s">
        <v>35</v>
      </c>
      <c r="C219" s="11">
        <v>6.2</v>
      </c>
      <c r="D219" t="s">
        <v>7</v>
      </c>
      <c r="E219" t="s">
        <v>15</v>
      </c>
      <c r="G219" s="16" t="s">
        <v>39</v>
      </c>
      <c r="H219" t="s">
        <v>16</v>
      </c>
    </row>
    <row r="220" spans="1:8" x14ac:dyDescent="0.25">
      <c r="A220" t="s">
        <v>50</v>
      </c>
      <c r="B220" t="s">
        <v>49</v>
      </c>
      <c r="C220" s="11">
        <v>4.6899999999999997E-2</v>
      </c>
      <c r="D220" t="s">
        <v>7</v>
      </c>
      <c r="E220" t="s">
        <v>15</v>
      </c>
      <c r="G220" s="16" t="s">
        <v>39</v>
      </c>
      <c r="H220" t="s">
        <v>16</v>
      </c>
    </row>
    <row r="221" spans="1:8" x14ac:dyDescent="0.25">
      <c r="A221" t="s">
        <v>32</v>
      </c>
      <c r="B221" t="s">
        <v>33</v>
      </c>
      <c r="C221" s="11">
        <v>1.6000000000000001E-3</v>
      </c>
      <c r="D221" t="s">
        <v>7</v>
      </c>
      <c r="E221" t="s">
        <v>15</v>
      </c>
      <c r="G221" s="16" t="s">
        <v>39</v>
      </c>
      <c r="H221" t="s">
        <v>16</v>
      </c>
    </row>
    <row r="222" spans="1:8" x14ac:dyDescent="0.25">
      <c r="A222" t="s">
        <v>24</v>
      </c>
      <c r="B222" t="s">
        <v>25</v>
      </c>
      <c r="C222" s="11">
        <v>0.50509999999999999</v>
      </c>
      <c r="D222" t="s">
        <v>26</v>
      </c>
      <c r="E222" t="s">
        <v>3</v>
      </c>
      <c r="G222" s="16" t="s">
        <v>39</v>
      </c>
      <c r="H222" t="s">
        <v>16</v>
      </c>
    </row>
    <row r="223" spans="1:8" x14ac:dyDescent="0.25">
      <c r="A223" t="s">
        <v>47</v>
      </c>
      <c r="B223" t="s">
        <v>46</v>
      </c>
      <c r="C223" s="11">
        <v>0</v>
      </c>
      <c r="D223" t="s">
        <v>7</v>
      </c>
      <c r="E223" t="s">
        <v>15</v>
      </c>
      <c r="G223" s="16" t="s">
        <v>39</v>
      </c>
      <c r="H223" t="s">
        <v>16</v>
      </c>
    </row>
    <row r="224" spans="1:8" x14ac:dyDescent="0.25">
      <c r="B224" t="s">
        <v>51</v>
      </c>
      <c r="C224" s="12">
        <v>3.2000000000000003E-4</v>
      </c>
      <c r="D224" t="s">
        <v>7</v>
      </c>
      <c r="F224" t="s">
        <v>21</v>
      </c>
      <c r="G224" s="16" t="s">
        <v>34</v>
      </c>
      <c r="H224" t="s">
        <v>19</v>
      </c>
    </row>
    <row r="225" spans="1:8" x14ac:dyDescent="0.25">
      <c r="A225" s="2"/>
      <c r="B225" s="2"/>
      <c r="C225" s="14"/>
      <c r="D225" s="2"/>
      <c r="E225" s="2"/>
      <c r="F225" s="2"/>
      <c r="G225" s="2"/>
      <c r="H225" s="2"/>
    </row>
    <row r="226" spans="1:8" x14ac:dyDescent="0.25">
      <c r="A226" s="18" t="s">
        <v>0</v>
      </c>
      <c r="B226" s="17" t="s">
        <v>189</v>
      </c>
      <c r="C226" s="13"/>
      <c r="D226" s="3"/>
      <c r="E226" s="3"/>
      <c r="F226" s="3"/>
      <c r="G226" s="3"/>
      <c r="H226" s="3"/>
    </row>
    <row r="227" spans="1:8" x14ac:dyDescent="0.25">
      <c r="A227" s="3" t="s">
        <v>1</v>
      </c>
      <c r="B227" s="6" t="s">
        <v>37</v>
      </c>
      <c r="C227" s="13"/>
      <c r="D227" s="3"/>
      <c r="E227" s="3"/>
      <c r="F227" s="3"/>
      <c r="G227" s="3"/>
      <c r="H227" s="3"/>
    </row>
    <row r="228" spans="1:8" x14ac:dyDescent="0.25">
      <c r="A228" s="3" t="s">
        <v>2</v>
      </c>
      <c r="B228" t="s">
        <v>3</v>
      </c>
      <c r="C228" s="13"/>
      <c r="D228" s="3"/>
      <c r="E228" s="3"/>
      <c r="F228" s="3"/>
      <c r="G228" s="3"/>
      <c r="H228" s="3"/>
    </row>
    <row r="229" spans="1:8" x14ac:dyDescent="0.25">
      <c r="A229" s="3" t="s">
        <v>4</v>
      </c>
      <c r="B229" s="8">
        <v>1</v>
      </c>
      <c r="C229" s="13"/>
      <c r="D229" s="3"/>
      <c r="E229" s="3"/>
      <c r="F229" s="3"/>
      <c r="G229" s="3"/>
      <c r="H229" s="3"/>
    </row>
    <row r="230" spans="1:8" x14ac:dyDescent="0.25">
      <c r="A230" s="3" t="s">
        <v>5</v>
      </c>
      <c r="B230" t="s">
        <v>190</v>
      </c>
      <c r="C230" s="13"/>
      <c r="D230" s="3"/>
      <c r="E230" s="3"/>
      <c r="F230" s="3"/>
      <c r="G230" s="3"/>
      <c r="H230" s="3"/>
    </row>
    <row r="231" spans="1:8" x14ac:dyDescent="0.25">
      <c r="A231" s="3" t="s">
        <v>6</v>
      </c>
      <c r="B231" t="s">
        <v>7</v>
      </c>
      <c r="C231" s="13"/>
      <c r="D231" s="3"/>
      <c r="E231" s="3"/>
      <c r="F231" s="3"/>
      <c r="G231" s="3"/>
      <c r="H231" s="3"/>
    </row>
    <row r="232" spans="1:8" x14ac:dyDescent="0.25">
      <c r="A232" s="1" t="s">
        <v>8</v>
      </c>
      <c r="B232" s="3"/>
      <c r="C232" s="13"/>
      <c r="D232" s="3"/>
      <c r="E232" s="3"/>
      <c r="F232" s="3"/>
      <c r="G232" s="3"/>
      <c r="H232" s="3"/>
    </row>
    <row r="233" spans="1:8" x14ac:dyDescent="0.25">
      <c r="A233" s="7" t="s">
        <v>5</v>
      </c>
      <c r="B233" s="6" t="s">
        <v>9</v>
      </c>
      <c r="C233" s="9" t="s">
        <v>10</v>
      </c>
      <c r="D233" s="6" t="s">
        <v>6</v>
      </c>
      <c r="E233" s="6" t="s">
        <v>2</v>
      </c>
      <c r="F233" s="6" t="s">
        <v>12</v>
      </c>
      <c r="G233" s="6" t="s">
        <v>11</v>
      </c>
      <c r="H233" s="7" t="s">
        <v>13</v>
      </c>
    </row>
    <row r="234" spans="1:8" x14ac:dyDescent="0.25">
      <c r="A234" t="s">
        <v>190</v>
      </c>
      <c r="B234" t="s">
        <v>189</v>
      </c>
      <c r="C234" s="10">
        <v>1</v>
      </c>
      <c r="D234" t="s">
        <v>7</v>
      </c>
      <c r="E234" t="s">
        <v>3</v>
      </c>
      <c r="G234" s="16" t="s">
        <v>38</v>
      </c>
      <c r="H234" t="s">
        <v>14</v>
      </c>
    </row>
    <row r="235" spans="1:8" x14ac:dyDescent="0.25">
      <c r="A235" t="s">
        <v>191</v>
      </c>
      <c r="B235" t="s">
        <v>188</v>
      </c>
      <c r="C235" s="20">
        <v>3.1</v>
      </c>
      <c r="D235" s="19" t="s">
        <v>7</v>
      </c>
      <c r="E235" s="19" t="s">
        <v>3</v>
      </c>
      <c r="F235" s="19"/>
      <c r="G235" s="21" t="s">
        <v>38</v>
      </c>
      <c r="H235" s="19" t="s">
        <v>16</v>
      </c>
    </row>
    <row r="236" spans="1:8" x14ac:dyDescent="0.25">
      <c r="A236" t="s">
        <v>27</v>
      </c>
      <c r="B236" t="s">
        <v>35</v>
      </c>
      <c r="C236" s="11">
        <v>6.2</v>
      </c>
      <c r="D236" t="s">
        <v>7</v>
      </c>
      <c r="E236" t="s">
        <v>15</v>
      </c>
      <c r="G236" s="16" t="s">
        <v>39</v>
      </c>
      <c r="H236" t="s">
        <v>16</v>
      </c>
    </row>
    <row r="237" spans="1:8" x14ac:dyDescent="0.25">
      <c r="A237" t="s">
        <v>50</v>
      </c>
      <c r="B237" t="s">
        <v>49</v>
      </c>
      <c r="C237" s="11">
        <v>4.6899999999999997E-2</v>
      </c>
      <c r="D237" t="s">
        <v>7</v>
      </c>
      <c r="E237" t="s">
        <v>15</v>
      </c>
      <c r="G237" s="16" t="s">
        <v>39</v>
      </c>
      <c r="H237" t="s">
        <v>16</v>
      </c>
    </row>
    <row r="238" spans="1:8" x14ac:dyDescent="0.25">
      <c r="A238" t="s">
        <v>32</v>
      </c>
      <c r="B238" t="s">
        <v>33</v>
      </c>
      <c r="C238" s="11">
        <v>1.6000000000000001E-3</v>
      </c>
      <c r="D238" t="s">
        <v>7</v>
      </c>
      <c r="E238" t="s">
        <v>15</v>
      </c>
      <c r="G238" s="16" t="s">
        <v>39</v>
      </c>
      <c r="H238" t="s">
        <v>16</v>
      </c>
    </row>
    <row r="239" spans="1:8" x14ac:dyDescent="0.25">
      <c r="A239" t="s">
        <v>185</v>
      </c>
      <c r="B239" t="s">
        <v>186</v>
      </c>
      <c r="C239" s="11">
        <v>0.50509999999999999</v>
      </c>
      <c r="D239" t="s">
        <v>26</v>
      </c>
      <c r="E239" t="s">
        <v>15</v>
      </c>
      <c r="G239" s="16" t="s">
        <v>39</v>
      </c>
      <c r="H239" t="s">
        <v>16</v>
      </c>
    </row>
    <row r="240" spans="1:8" x14ac:dyDescent="0.25">
      <c r="A240" t="s">
        <v>47</v>
      </c>
      <c r="B240" t="s">
        <v>46</v>
      </c>
      <c r="C240" s="11">
        <v>0</v>
      </c>
      <c r="D240" t="s">
        <v>7</v>
      </c>
      <c r="E240" t="s">
        <v>15</v>
      </c>
      <c r="G240" s="16" t="s">
        <v>39</v>
      </c>
      <c r="H240" t="s">
        <v>16</v>
      </c>
    </row>
    <row r="241" spans="2:8" x14ac:dyDescent="0.25">
      <c r="B241" t="s">
        <v>51</v>
      </c>
      <c r="C241" s="12">
        <v>3.2000000000000003E-4</v>
      </c>
      <c r="D241" t="s">
        <v>7</v>
      </c>
      <c r="F241" t="s">
        <v>21</v>
      </c>
      <c r="G241" s="16" t="s">
        <v>34</v>
      </c>
      <c r="H241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857C8-5E89-40ED-BA92-F4AC23017515}">
  <dimension ref="A1:H56"/>
  <sheetViews>
    <sheetView zoomScaleNormal="100" workbookViewId="0">
      <selection activeCell="C14" sqref="C14"/>
    </sheetView>
  </sheetViews>
  <sheetFormatPr defaultRowHeight="15" x14ac:dyDescent="0.25"/>
  <cols>
    <col min="1" max="1" width="54.85546875" bestFit="1" customWidth="1"/>
    <col min="2" max="2" width="68.85546875" bestFit="1" customWidth="1"/>
    <col min="3" max="3" width="9.140625" bestFit="1" customWidth="1"/>
    <col min="4" max="4" width="13" bestFit="1" customWidth="1"/>
    <col min="5" max="5" width="8.85546875" bestFit="1" customWidth="1"/>
    <col min="6" max="6" width="11.42578125" bestFit="1" customWidth="1"/>
    <col min="7" max="7" width="34.85546875" bestFit="1" customWidth="1"/>
    <col min="8" max="8" width="14.5703125" customWidth="1"/>
    <col min="11" max="11" width="14.5703125" bestFit="1" customWidth="1"/>
  </cols>
  <sheetData>
    <row r="1" spans="1:8" x14ac:dyDescent="0.25">
      <c r="A1" s="18" t="s">
        <v>0</v>
      </c>
      <c r="B1" s="17" t="s">
        <v>54</v>
      </c>
      <c r="C1" s="13"/>
      <c r="D1" s="3"/>
      <c r="E1" s="3"/>
      <c r="F1" s="3"/>
      <c r="G1" s="3"/>
      <c r="H1" s="3"/>
    </row>
    <row r="2" spans="1:8" x14ac:dyDescent="0.25">
      <c r="A2" s="3" t="s">
        <v>1</v>
      </c>
      <c r="B2" s="6" t="s">
        <v>37</v>
      </c>
      <c r="C2" s="13"/>
      <c r="D2" s="3"/>
      <c r="E2" s="3"/>
      <c r="F2" s="3"/>
      <c r="G2" s="3"/>
      <c r="H2" s="3"/>
    </row>
    <row r="3" spans="1:8" x14ac:dyDescent="0.25">
      <c r="A3" s="3" t="s">
        <v>2</v>
      </c>
      <c r="B3" t="s">
        <v>3</v>
      </c>
      <c r="C3" s="13"/>
      <c r="D3" s="3"/>
      <c r="E3" s="3"/>
      <c r="F3" s="3"/>
      <c r="G3" s="3"/>
      <c r="H3" s="3"/>
    </row>
    <row r="4" spans="1:8" x14ac:dyDescent="0.25">
      <c r="A4" s="3" t="s">
        <v>4</v>
      </c>
      <c r="B4" s="8">
        <v>1</v>
      </c>
      <c r="C4" s="13"/>
      <c r="D4" s="3"/>
      <c r="E4" s="3"/>
      <c r="F4" s="3"/>
      <c r="G4" s="3"/>
      <c r="H4" s="3"/>
    </row>
    <row r="5" spans="1:8" x14ac:dyDescent="0.25">
      <c r="A5" s="3" t="s">
        <v>5</v>
      </c>
      <c r="B5" t="s">
        <v>55</v>
      </c>
      <c r="C5" s="13"/>
      <c r="D5" s="3"/>
      <c r="E5" s="3"/>
      <c r="F5" s="3"/>
      <c r="G5" s="3"/>
      <c r="H5" s="3"/>
    </row>
    <row r="6" spans="1:8" x14ac:dyDescent="0.25">
      <c r="A6" s="3" t="s">
        <v>6</v>
      </c>
      <c r="B6" t="s">
        <v>7</v>
      </c>
      <c r="C6" s="13"/>
      <c r="D6" s="3"/>
      <c r="E6" s="3"/>
      <c r="F6" s="3"/>
      <c r="G6" s="3"/>
      <c r="H6" s="3"/>
    </row>
    <row r="7" spans="1:8" x14ac:dyDescent="0.25">
      <c r="A7" s="1" t="s">
        <v>8</v>
      </c>
      <c r="B7" s="3"/>
      <c r="C7" s="13"/>
      <c r="D7" s="3"/>
      <c r="E7" s="3"/>
      <c r="F7" s="3"/>
      <c r="G7" s="3"/>
      <c r="H7" s="3"/>
    </row>
    <row r="8" spans="1:8" x14ac:dyDescent="0.25">
      <c r="A8" s="7" t="s">
        <v>5</v>
      </c>
      <c r="B8" s="6" t="s">
        <v>9</v>
      </c>
      <c r="C8" s="9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</row>
    <row r="9" spans="1:8" x14ac:dyDescent="0.25">
      <c r="A9" t="s">
        <v>55</v>
      </c>
      <c r="B9" t="s">
        <v>54</v>
      </c>
      <c r="C9" s="10">
        <v>1</v>
      </c>
      <c r="D9" t="s">
        <v>7</v>
      </c>
      <c r="E9" t="s">
        <v>3</v>
      </c>
      <c r="G9" s="16" t="s">
        <v>38</v>
      </c>
      <c r="H9" t="s">
        <v>14</v>
      </c>
    </row>
    <row r="10" spans="1:8" x14ac:dyDescent="0.25">
      <c r="A10" t="s">
        <v>30</v>
      </c>
      <c r="B10" t="s">
        <v>31</v>
      </c>
      <c r="C10" s="10">
        <v>5.74</v>
      </c>
      <c r="D10" t="s">
        <v>17</v>
      </c>
      <c r="E10" t="s">
        <v>3</v>
      </c>
      <c r="G10" s="16" t="s">
        <v>39</v>
      </c>
      <c r="H10" t="s">
        <v>16</v>
      </c>
    </row>
    <row r="11" spans="1:8" x14ac:dyDescent="0.25">
      <c r="A11" t="s">
        <v>53</v>
      </c>
      <c r="B11" t="s">
        <v>52</v>
      </c>
      <c r="C11" s="11">
        <v>7.4999999999999997E-3</v>
      </c>
      <c r="D11" t="s">
        <v>7</v>
      </c>
      <c r="E11" t="s">
        <v>3</v>
      </c>
      <c r="G11" s="16" t="s">
        <v>39</v>
      </c>
      <c r="H11" t="s">
        <v>16</v>
      </c>
    </row>
    <row r="12" spans="1:8" x14ac:dyDescent="0.25">
      <c r="A12" t="s">
        <v>24</v>
      </c>
      <c r="B12" t="s">
        <v>25</v>
      </c>
      <c r="C12" s="11">
        <v>3.298</v>
      </c>
      <c r="D12" t="s">
        <v>26</v>
      </c>
      <c r="E12" t="s">
        <v>3</v>
      </c>
      <c r="G12" s="16" t="s">
        <v>39</v>
      </c>
      <c r="H12" t="s">
        <v>16</v>
      </c>
    </row>
    <row r="13" spans="1:8" s="19" customFormat="1" x14ac:dyDescent="0.25">
      <c r="A13" s="19" t="s">
        <v>29</v>
      </c>
      <c r="B13" s="19" t="s">
        <v>28</v>
      </c>
      <c r="C13" s="25">
        <v>4.5</v>
      </c>
      <c r="D13" s="19" t="s">
        <v>7</v>
      </c>
      <c r="E13" s="19" t="s">
        <v>15</v>
      </c>
      <c r="G13" s="21" t="s">
        <v>39</v>
      </c>
      <c r="H13" s="19" t="s">
        <v>16</v>
      </c>
    </row>
    <row r="14" spans="1:8" x14ac:dyDescent="0.25">
      <c r="A14" t="s">
        <v>27</v>
      </c>
      <c r="B14" t="s">
        <v>35</v>
      </c>
      <c r="C14" s="11">
        <v>3.1</v>
      </c>
      <c r="D14" t="s">
        <v>7</v>
      </c>
      <c r="E14" t="s">
        <v>15</v>
      </c>
      <c r="G14" s="16" t="s">
        <v>39</v>
      </c>
      <c r="H14" t="s">
        <v>16</v>
      </c>
    </row>
    <row r="15" spans="1:8" x14ac:dyDescent="0.25">
      <c r="B15" t="s">
        <v>18</v>
      </c>
      <c r="C15" s="11">
        <v>0.8</v>
      </c>
      <c r="D15" t="s">
        <v>7</v>
      </c>
      <c r="F15" t="s">
        <v>21</v>
      </c>
      <c r="G15" s="16" t="s">
        <v>34</v>
      </c>
      <c r="H15" t="s">
        <v>19</v>
      </c>
    </row>
    <row r="16" spans="1:8" x14ac:dyDescent="0.25">
      <c r="B16" t="s">
        <v>48</v>
      </c>
      <c r="C16" s="12">
        <v>2.5080000000000002E-4</v>
      </c>
      <c r="D16" t="s">
        <v>7</v>
      </c>
      <c r="F16" t="s">
        <v>21</v>
      </c>
      <c r="G16" s="16" t="s">
        <v>34</v>
      </c>
      <c r="H16" t="s">
        <v>19</v>
      </c>
    </row>
    <row r="17" spans="1:8" x14ac:dyDescent="0.25">
      <c r="B17" t="s">
        <v>20</v>
      </c>
      <c r="C17" s="12">
        <v>4.7679999999999999E-4</v>
      </c>
      <c r="D17" t="s">
        <v>7</v>
      </c>
      <c r="F17" t="s">
        <v>21</v>
      </c>
      <c r="G17" s="16" t="s">
        <v>34</v>
      </c>
      <c r="H17" t="s">
        <v>19</v>
      </c>
    </row>
    <row r="18" spans="1:8" x14ac:dyDescent="0.25">
      <c r="B18" t="s">
        <v>36</v>
      </c>
      <c r="C18" s="12">
        <v>2.9999999999999997E-5</v>
      </c>
      <c r="D18" t="s">
        <v>7</v>
      </c>
      <c r="F18" t="s">
        <v>21</v>
      </c>
      <c r="G18" s="16" t="s">
        <v>34</v>
      </c>
      <c r="H18" t="s">
        <v>19</v>
      </c>
    </row>
    <row r="19" spans="1:8" x14ac:dyDescent="0.25">
      <c r="A19" s="2"/>
      <c r="B19" s="2"/>
      <c r="C19" s="14"/>
      <c r="D19" s="2"/>
      <c r="E19" s="2"/>
      <c r="F19" s="2"/>
      <c r="G19" s="2"/>
      <c r="H19" s="2"/>
    </row>
    <row r="20" spans="1:8" x14ac:dyDescent="0.25">
      <c r="A20" s="18" t="s">
        <v>0</v>
      </c>
      <c r="B20" s="17" t="s">
        <v>57</v>
      </c>
      <c r="C20" s="13"/>
      <c r="D20" s="3"/>
      <c r="E20" s="3"/>
      <c r="F20" s="3"/>
      <c r="G20" s="3"/>
      <c r="H20" s="3"/>
    </row>
    <row r="21" spans="1:8" x14ac:dyDescent="0.25">
      <c r="A21" s="3" t="s">
        <v>1</v>
      </c>
      <c r="B21" s="6" t="s">
        <v>37</v>
      </c>
      <c r="C21" s="13"/>
      <c r="D21" s="3"/>
      <c r="E21" s="3"/>
      <c r="F21" s="3"/>
      <c r="G21" s="3"/>
      <c r="H21" s="3"/>
    </row>
    <row r="22" spans="1:8" x14ac:dyDescent="0.25">
      <c r="A22" s="3" t="s">
        <v>2</v>
      </c>
      <c r="B22" t="s">
        <v>3</v>
      </c>
      <c r="C22" s="13"/>
      <c r="D22" s="3"/>
      <c r="E22" s="3"/>
      <c r="F22" s="3"/>
      <c r="G22" s="3"/>
      <c r="H22" s="3"/>
    </row>
    <row r="23" spans="1:8" x14ac:dyDescent="0.25">
      <c r="A23" s="3" t="s">
        <v>4</v>
      </c>
      <c r="B23" s="8">
        <v>1</v>
      </c>
      <c r="C23" s="13"/>
      <c r="D23" s="3"/>
      <c r="E23" s="3"/>
      <c r="F23" s="3"/>
      <c r="G23" s="3"/>
      <c r="H23" s="3"/>
    </row>
    <row r="24" spans="1:8" x14ac:dyDescent="0.25">
      <c r="A24" s="3" t="s">
        <v>5</v>
      </c>
      <c r="B24" t="s">
        <v>56</v>
      </c>
      <c r="C24" s="13"/>
      <c r="D24" s="3"/>
      <c r="E24" s="3"/>
      <c r="F24" s="3"/>
      <c r="G24" s="3"/>
      <c r="H24" s="3"/>
    </row>
    <row r="25" spans="1:8" x14ac:dyDescent="0.25">
      <c r="A25" s="3" t="s">
        <v>6</v>
      </c>
      <c r="B25" t="s">
        <v>7</v>
      </c>
      <c r="C25" s="13"/>
      <c r="D25" s="3"/>
      <c r="E25" s="3"/>
      <c r="F25" s="3"/>
      <c r="G25" s="3"/>
      <c r="H25" s="3"/>
    </row>
    <row r="26" spans="1:8" x14ac:dyDescent="0.25">
      <c r="A26" s="1" t="s">
        <v>8</v>
      </c>
      <c r="B26" s="3"/>
      <c r="C26" s="13"/>
      <c r="D26" s="3"/>
      <c r="E26" s="3"/>
      <c r="F26" s="3"/>
      <c r="G26" s="3"/>
      <c r="H26" s="3"/>
    </row>
    <row r="27" spans="1:8" x14ac:dyDescent="0.25">
      <c r="A27" s="7" t="s">
        <v>5</v>
      </c>
      <c r="B27" s="6" t="s">
        <v>9</v>
      </c>
      <c r="C27" s="9" t="s">
        <v>10</v>
      </c>
      <c r="D27" s="6" t="s">
        <v>6</v>
      </c>
      <c r="E27" s="6" t="s">
        <v>2</v>
      </c>
      <c r="F27" s="6" t="s">
        <v>12</v>
      </c>
      <c r="G27" s="6" t="s">
        <v>11</v>
      </c>
      <c r="H27" s="7" t="s">
        <v>13</v>
      </c>
    </row>
    <row r="28" spans="1:8" x14ac:dyDescent="0.25">
      <c r="A28" t="s">
        <v>56</v>
      </c>
      <c r="B28" t="s">
        <v>57</v>
      </c>
      <c r="C28" s="10">
        <v>1</v>
      </c>
      <c r="D28" t="s">
        <v>7</v>
      </c>
      <c r="E28" t="s">
        <v>3</v>
      </c>
      <c r="G28" s="16" t="s">
        <v>38</v>
      </c>
      <c r="H28" t="s">
        <v>14</v>
      </c>
    </row>
    <row r="29" spans="1:8" x14ac:dyDescent="0.25">
      <c r="A29" t="s">
        <v>64</v>
      </c>
      <c r="B29" t="s">
        <v>58</v>
      </c>
      <c r="C29" s="10">
        <f>5.74*0.777</f>
        <v>4.4599800000000007</v>
      </c>
      <c r="D29" t="s">
        <v>7</v>
      </c>
      <c r="E29" t="s">
        <v>59</v>
      </c>
      <c r="G29" s="16" t="s">
        <v>39</v>
      </c>
      <c r="H29" t="s">
        <v>16</v>
      </c>
    </row>
    <row r="30" spans="1:8" x14ac:dyDescent="0.25">
      <c r="A30" t="s">
        <v>53</v>
      </c>
      <c r="B30" t="s">
        <v>52</v>
      </c>
      <c r="C30" s="11">
        <v>7.4999999999999997E-3</v>
      </c>
      <c r="D30" t="s">
        <v>7</v>
      </c>
      <c r="E30" t="s">
        <v>3</v>
      </c>
      <c r="G30" s="16" t="s">
        <v>39</v>
      </c>
      <c r="H30" t="s">
        <v>16</v>
      </c>
    </row>
    <row r="31" spans="1:8" x14ac:dyDescent="0.25">
      <c r="A31" t="s">
        <v>24</v>
      </c>
      <c r="B31" t="s">
        <v>25</v>
      </c>
      <c r="C31" s="11">
        <v>3.298</v>
      </c>
      <c r="D31" t="s">
        <v>26</v>
      </c>
      <c r="E31" t="s">
        <v>3</v>
      </c>
      <c r="G31" s="16" t="s">
        <v>39</v>
      </c>
      <c r="H31" t="s">
        <v>16</v>
      </c>
    </row>
    <row r="32" spans="1:8" s="19" customFormat="1" x14ac:dyDescent="0.25">
      <c r="A32" s="19" t="s">
        <v>29</v>
      </c>
      <c r="B32" s="19" t="s">
        <v>28</v>
      </c>
      <c r="C32" s="25">
        <v>4.5</v>
      </c>
      <c r="D32" s="19" t="s">
        <v>7</v>
      </c>
      <c r="E32" s="19" t="s">
        <v>15</v>
      </c>
      <c r="G32" s="21" t="s">
        <v>39</v>
      </c>
      <c r="H32" s="19" t="s">
        <v>16</v>
      </c>
    </row>
    <row r="33" spans="1:8" x14ac:dyDescent="0.25">
      <c r="A33" t="s">
        <v>27</v>
      </c>
      <c r="B33" t="s">
        <v>35</v>
      </c>
      <c r="C33" s="11">
        <v>3.1</v>
      </c>
      <c r="D33" t="s">
        <v>7</v>
      </c>
      <c r="E33" t="s">
        <v>15</v>
      </c>
      <c r="G33" s="16" t="s">
        <v>39</v>
      </c>
      <c r="H33" t="s">
        <v>16</v>
      </c>
    </row>
    <row r="34" spans="1:8" x14ac:dyDescent="0.25">
      <c r="B34" t="s">
        <v>18</v>
      </c>
      <c r="C34" s="11">
        <v>0.8</v>
      </c>
      <c r="D34" t="s">
        <v>7</v>
      </c>
      <c r="F34" t="s">
        <v>21</v>
      </c>
      <c r="G34" s="16" t="s">
        <v>34</v>
      </c>
      <c r="H34" t="s">
        <v>19</v>
      </c>
    </row>
    <row r="35" spans="1:8" x14ac:dyDescent="0.25">
      <c r="B35" t="s">
        <v>48</v>
      </c>
      <c r="C35" s="12">
        <v>2.5080000000000002E-4</v>
      </c>
      <c r="D35" t="s">
        <v>7</v>
      </c>
      <c r="F35" t="s">
        <v>21</v>
      </c>
      <c r="G35" s="16" t="s">
        <v>34</v>
      </c>
      <c r="H35" t="s">
        <v>19</v>
      </c>
    </row>
    <row r="36" spans="1:8" x14ac:dyDescent="0.25">
      <c r="B36" t="s">
        <v>20</v>
      </c>
      <c r="C36" s="12">
        <v>4.7679999999999999E-4</v>
      </c>
      <c r="D36" t="s">
        <v>7</v>
      </c>
      <c r="F36" t="s">
        <v>21</v>
      </c>
      <c r="G36" s="16" t="s">
        <v>34</v>
      </c>
      <c r="H36" t="s">
        <v>19</v>
      </c>
    </row>
    <row r="37" spans="1:8" x14ac:dyDescent="0.25">
      <c r="B37" t="s">
        <v>36</v>
      </c>
      <c r="C37" s="12">
        <v>2.9999999999999997E-5</v>
      </c>
      <c r="D37" t="s">
        <v>7</v>
      </c>
      <c r="F37" t="s">
        <v>21</v>
      </c>
      <c r="G37" s="16" t="s">
        <v>34</v>
      </c>
      <c r="H37" t="s">
        <v>19</v>
      </c>
    </row>
    <row r="38" spans="1:8" x14ac:dyDescent="0.25">
      <c r="A38" s="2"/>
      <c r="B38" s="2"/>
      <c r="C38" s="14"/>
      <c r="D38" s="2"/>
      <c r="E38" s="2"/>
      <c r="F38" s="2"/>
      <c r="G38" s="2"/>
      <c r="H38" s="2"/>
    </row>
    <row r="39" spans="1:8" x14ac:dyDescent="0.25">
      <c r="A39" s="18" t="s">
        <v>0</v>
      </c>
      <c r="B39" s="17" t="s">
        <v>193</v>
      </c>
      <c r="C39" s="13"/>
      <c r="D39" s="3"/>
      <c r="E39" s="3"/>
      <c r="F39" s="3"/>
      <c r="G39" s="3"/>
      <c r="H39" s="3"/>
    </row>
    <row r="40" spans="1:8" x14ac:dyDescent="0.25">
      <c r="A40" s="3" t="s">
        <v>1</v>
      </c>
      <c r="B40" s="6" t="s">
        <v>37</v>
      </c>
      <c r="C40" s="13"/>
      <c r="D40" s="3"/>
      <c r="E40" s="3"/>
      <c r="F40" s="3"/>
      <c r="G40" s="3"/>
      <c r="H40" s="3"/>
    </row>
    <row r="41" spans="1:8" x14ac:dyDescent="0.25">
      <c r="A41" s="3" t="s">
        <v>2</v>
      </c>
      <c r="B41" t="s">
        <v>3</v>
      </c>
      <c r="C41" s="13"/>
      <c r="D41" s="3"/>
      <c r="E41" s="3"/>
      <c r="F41" s="3"/>
      <c r="G41" s="3"/>
      <c r="H41" s="3"/>
    </row>
    <row r="42" spans="1:8" x14ac:dyDescent="0.25">
      <c r="A42" s="3" t="s">
        <v>4</v>
      </c>
      <c r="B42" s="8">
        <v>1</v>
      </c>
      <c r="C42" s="13"/>
      <c r="D42" s="3"/>
      <c r="E42" s="3"/>
      <c r="F42" s="3"/>
      <c r="G42" s="3"/>
      <c r="H42" s="3"/>
    </row>
    <row r="43" spans="1:8" x14ac:dyDescent="0.25">
      <c r="A43" s="3" t="s">
        <v>5</v>
      </c>
      <c r="B43" t="s">
        <v>194</v>
      </c>
      <c r="C43" s="13"/>
      <c r="D43" s="3"/>
      <c r="E43" s="3"/>
      <c r="F43" s="3"/>
      <c r="G43" s="3"/>
      <c r="H43" s="3"/>
    </row>
    <row r="44" spans="1:8" x14ac:dyDescent="0.25">
      <c r="A44" s="3" t="s">
        <v>6</v>
      </c>
      <c r="B44" t="s">
        <v>7</v>
      </c>
      <c r="C44" s="13"/>
      <c r="D44" s="3"/>
      <c r="E44" s="3"/>
      <c r="F44" s="3"/>
      <c r="G44" s="3"/>
      <c r="H44" s="3"/>
    </row>
    <row r="45" spans="1:8" x14ac:dyDescent="0.25">
      <c r="A45" s="1" t="s">
        <v>8</v>
      </c>
      <c r="B45" s="3"/>
      <c r="C45" s="13"/>
      <c r="D45" s="3"/>
      <c r="E45" s="3"/>
      <c r="F45" s="3"/>
      <c r="G45" s="3"/>
      <c r="H45" s="3"/>
    </row>
    <row r="46" spans="1:8" x14ac:dyDescent="0.25">
      <c r="A46" s="7" t="s">
        <v>5</v>
      </c>
      <c r="B46" s="6" t="s">
        <v>9</v>
      </c>
      <c r="C46" s="9" t="s">
        <v>10</v>
      </c>
      <c r="D46" s="6" t="s">
        <v>6</v>
      </c>
      <c r="E46" s="6" t="s">
        <v>2</v>
      </c>
      <c r="F46" s="6" t="s">
        <v>12</v>
      </c>
      <c r="G46" s="6" t="s">
        <v>11</v>
      </c>
      <c r="H46" s="7" t="s">
        <v>13</v>
      </c>
    </row>
    <row r="47" spans="1:8" x14ac:dyDescent="0.25">
      <c r="A47" t="s">
        <v>194</v>
      </c>
      <c r="B47" t="s">
        <v>193</v>
      </c>
      <c r="C47" s="10">
        <v>1</v>
      </c>
      <c r="D47" t="s">
        <v>7</v>
      </c>
      <c r="E47" t="s">
        <v>3</v>
      </c>
      <c r="G47" s="16" t="s">
        <v>38</v>
      </c>
      <c r="H47" t="s">
        <v>14</v>
      </c>
    </row>
    <row r="48" spans="1:8" x14ac:dyDescent="0.25">
      <c r="A48" t="s">
        <v>64</v>
      </c>
      <c r="B48" t="s">
        <v>58</v>
      </c>
      <c r="C48" s="10">
        <v>4.4599800000000007</v>
      </c>
      <c r="D48" t="s">
        <v>7</v>
      </c>
      <c r="E48" t="s">
        <v>59</v>
      </c>
      <c r="G48" s="16" t="s">
        <v>39</v>
      </c>
      <c r="H48" t="s">
        <v>16</v>
      </c>
    </row>
    <row r="49" spans="1:8" x14ac:dyDescent="0.25">
      <c r="A49" t="s">
        <v>53</v>
      </c>
      <c r="B49" t="s">
        <v>52</v>
      </c>
      <c r="C49" s="11">
        <v>7.4999999999999997E-3</v>
      </c>
      <c r="D49" t="s">
        <v>7</v>
      </c>
      <c r="E49" t="s">
        <v>3</v>
      </c>
      <c r="G49" s="16" t="s">
        <v>39</v>
      </c>
      <c r="H49" t="s">
        <v>16</v>
      </c>
    </row>
    <row r="50" spans="1:8" x14ac:dyDescent="0.25">
      <c r="A50" t="s">
        <v>185</v>
      </c>
      <c r="B50" t="s">
        <v>186</v>
      </c>
      <c r="C50" s="11">
        <v>3.298</v>
      </c>
      <c r="D50" t="s">
        <v>26</v>
      </c>
      <c r="E50" s="19" t="s">
        <v>15</v>
      </c>
      <c r="G50" s="16" t="s">
        <v>39</v>
      </c>
      <c r="H50" t="s">
        <v>16</v>
      </c>
    </row>
    <row r="51" spans="1:8" x14ac:dyDescent="0.25">
      <c r="A51" s="19" t="s">
        <v>29</v>
      </c>
      <c r="B51" s="19" t="s">
        <v>28</v>
      </c>
      <c r="C51" s="25">
        <v>4.5</v>
      </c>
      <c r="D51" s="19" t="s">
        <v>7</v>
      </c>
      <c r="E51" s="19" t="s">
        <v>15</v>
      </c>
      <c r="F51" s="19"/>
      <c r="G51" s="21" t="s">
        <v>39</v>
      </c>
      <c r="H51" s="19" t="s">
        <v>16</v>
      </c>
    </row>
    <row r="52" spans="1:8" x14ac:dyDescent="0.25">
      <c r="A52" t="s">
        <v>27</v>
      </c>
      <c r="B52" t="s">
        <v>35</v>
      </c>
      <c r="C52" s="11">
        <v>3.1</v>
      </c>
      <c r="D52" t="s">
        <v>7</v>
      </c>
      <c r="E52" t="s">
        <v>15</v>
      </c>
      <c r="G52" s="16" t="s">
        <v>39</v>
      </c>
      <c r="H52" t="s">
        <v>16</v>
      </c>
    </row>
    <row r="53" spans="1:8" x14ac:dyDescent="0.25">
      <c r="B53" t="s">
        <v>18</v>
      </c>
      <c r="C53" s="11">
        <v>0.8</v>
      </c>
      <c r="D53" t="s">
        <v>7</v>
      </c>
      <c r="F53" t="s">
        <v>21</v>
      </c>
      <c r="G53" s="16" t="s">
        <v>34</v>
      </c>
      <c r="H53" t="s">
        <v>19</v>
      </c>
    </row>
    <row r="54" spans="1:8" x14ac:dyDescent="0.25">
      <c r="B54" t="s">
        <v>48</v>
      </c>
      <c r="C54" s="12">
        <v>2.5080000000000002E-4</v>
      </c>
      <c r="D54" t="s">
        <v>7</v>
      </c>
      <c r="F54" t="s">
        <v>21</v>
      </c>
      <c r="G54" s="16" t="s">
        <v>34</v>
      </c>
      <c r="H54" t="s">
        <v>19</v>
      </c>
    </row>
    <row r="55" spans="1:8" x14ac:dyDescent="0.25">
      <c r="B55" t="s">
        <v>20</v>
      </c>
      <c r="C55" s="12">
        <v>4.7679999999999999E-4</v>
      </c>
      <c r="D55" t="s">
        <v>7</v>
      </c>
      <c r="F55" t="s">
        <v>21</v>
      </c>
      <c r="G55" s="16" t="s">
        <v>34</v>
      </c>
      <c r="H55" t="s">
        <v>19</v>
      </c>
    </row>
    <row r="56" spans="1:8" x14ac:dyDescent="0.25">
      <c r="B56" t="s">
        <v>36</v>
      </c>
      <c r="C56" s="12">
        <v>2.9999999999999997E-5</v>
      </c>
      <c r="D56" t="s">
        <v>7</v>
      </c>
      <c r="F56" t="s">
        <v>21</v>
      </c>
      <c r="G56" s="16" t="s">
        <v>34</v>
      </c>
      <c r="H56" t="s">
        <v>19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075F-2FA8-46E1-8438-1A69B61B4F8D}">
  <dimension ref="A1:H53"/>
  <sheetViews>
    <sheetView zoomScaleNormal="100" workbookViewId="0">
      <selection activeCell="G34" sqref="G34"/>
    </sheetView>
  </sheetViews>
  <sheetFormatPr defaultRowHeight="15" x14ac:dyDescent="0.25"/>
  <cols>
    <col min="1" max="1" width="54.85546875" bestFit="1" customWidth="1"/>
    <col min="2" max="2" width="65.28515625" bestFit="1" customWidth="1"/>
    <col min="3" max="3" width="7.85546875" bestFit="1" customWidth="1"/>
    <col min="4" max="4" width="12.85546875" bestFit="1" customWidth="1"/>
    <col min="5" max="5" width="8.140625" bestFit="1" customWidth="1"/>
    <col min="6" max="6" width="10.140625" bestFit="1" customWidth="1"/>
    <col min="7" max="7" width="30.42578125" bestFit="1" customWidth="1"/>
    <col min="8" max="8" width="13.42578125" bestFit="1" customWidth="1"/>
    <col min="11" max="11" width="14.5703125" bestFit="1" customWidth="1"/>
  </cols>
  <sheetData>
    <row r="1" spans="1:8" x14ac:dyDescent="0.25">
      <c r="A1" s="18" t="s">
        <v>0</v>
      </c>
      <c r="B1" s="17" t="s">
        <v>60</v>
      </c>
      <c r="C1" s="13"/>
      <c r="D1" s="3"/>
      <c r="E1" s="3"/>
      <c r="F1" s="3"/>
      <c r="G1" s="3"/>
      <c r="H1" s="3"/>
    </row>
    <row r="2" spans="1:8" x14ac:dyDescent="0.25">
      <c r="A2" s="3" t="s">
        <v>1</v>
      </c>
      <c r="B2" s="6" t="s">
        <v>37</v>
      </c>
      <c r="C2" s="13"/>
      <c r="D2" s="3"/>
      <c r="E2" s="3"/>
      <c r="F2" s="3"/>
      <c r="G2" s="3"/>
      <c r="H2" s="3"/>
    </row>
    <row r="3" spans="1:8" x14ac:dyDescent="0.25">
      <c r="A3" s="3" t="s">
        <v>2</v>
      </c>
      <c r="B3" t="s">
        <v>3</v>
      </c>
      <c r="C3" s="13"/>
      <c r="D3" s="3"/>
      <c r="E3" s="3"/>
      <c r="F3" s="3"/>
      <c r="G3" s="3"/>
      <c r="H3" s="3"/>
    </row>
    <row r="4" spans="1:8" x14ac:dyDescent="0.25">
      <c r="A4" s="3" t="s">
        <v>4</v>
      </c>
      <c r="B4" s="8">
        <v>1</v>
      </c>
      <c r="C4" s="13"/>
      <c r="D4" s="3"/>
      <c r="E4" s="3"/>
      <c r="F4" s="3"/>
      <c r="G4" s="3"/>
      <c r="H4" s="3"/>
    </row>
    <row r="5" spans="1:8" x14ac:dyDescent="0.25">
      <c r="A5" s="3" t="s">
        <v>5</v>
      </c>
      <c r="B5" t="s">
        <v>61</v>
      </c>
      <c r="C5" s="13"/>
      <c r="D5" s="3"/>
      <c r="E5" s="3"/>
      <c r="F5" s="3"/>
      <c r="G5" s="3"/>
      <c r="H5" s="3"/>
    </row>
    <row r="6" spans="1:8" x14ac:dyDescent="0.25">
      <c r="A6" s="3" t="s">
        <v>6</v>
      </c>
      <c r="B6" t="s">
        <v>7</v>
      </c>
      <c r="C6" s="13"/>
      <c r="D6" s="3"/>
      <c r="E6" s="3"/>
      <c r="F6" s="3"/>
      <c r="G6" s="3"/>
      <c r="H6" s="3"/>
    </row>
    <row r="7" spans="1:8" x14ac:dyDescent="0.25">
      <c r="A7" s="1" t="s">
        <v>8</v>
      </c>
      <c r="B7" s="3"/>
      <c r="C7" s="13"/>
      <c r="D7" s="3"/>
      <c r="E7" s="3"/>
      <c r="F7" s="3"/>
      <c r="G7" s="3"/>
      <c r="H7" s="3"/>
    </row>
    <row r="8" spans="1:8" x14ac:dyDescent="0.25">
      <c r="A8" s="7" t="s">
        <v>5</v>
      </c>
      <c r="B8" s="6" t="s">
        <v>9</v>
      </c>
      <c r="C8" s="9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</row>
    <row r="9" spans="1:8" x14ac:dyDescent="0.25">
      <c r="A9" t="s">
        <v>61</v>
      </c>
      <c r="B9" t="s">
        <v>60</v>
      </c>
      <c r="C9" s="10">
        <v>1</v>
      </c>
      <c r="D9" t="s">
        <v>7</v>
      </c>
      <c r="E9" t="s">
        <v>3</v>
      </c>
      <c r="G9" s="16" t="s">
        <v>38</v>
      </c>
      <c r="H9" t="s">
        <v>14</v>
      </c>
    </row>
    <row r="10" spans="1:8" x14ac:dyDescent="0.25">
      <c r="A10" t="s">
        <v>30</v>
      </c>
      <c r="B10" t="s">
        <v>31</v>
      </c>
      <c r="C10" s="10">
        <v>2</v>
      </c>
      <c r="D10" t="s">
        <v>17</v>
      </c>
      <c r="E10" t="s">
        <v>3</v>
      </c>
      <c r="G10" s="16" t="s">
        <v>39</v>
      </c>
      <c r="H10" t="s">
        <v>16</v>
      </c>
    </row>
    <row r="11" spans="1:8" x14ac:dyDescent="0.25">
      <c r="A11" t="s">
        <v>53</v>
      </c>
      <c r="B11" t="s">
        <v>52</v>
      </c>
      <c r="C11" s="11">
        <v>7.0000000000000001E-3</v>
      </c>
      <c r="D11" t="s">
        <v>7</v>
      </c>
      <c r="E11" t="s">
        <v>3</v>
      </c>
      <c r="G11" s="16" t="s">
        <v>39</v>
      </c>
      <c r="H11" t="s">
        <v>16</v>
      </c>
    </row>
    <row r="12" spans="1:8" x14ac:dyDescent="0.25">
      <c r="A12" t="s">
        <v>24</v>
      </c>
      <c r="B12" t="s">
        <v>25</v>
      </c>
      <c r="C12" s="11">
        <v>12.1</v>
      </c>
      <c r="D12" t="s">
        <v>26</v>
      </c>
      <c r="E12" t="s">
        <v>3</v>
      </c>
      <c r="G12" s="16" t="s">
        <v>39</v>
      </c>
      <c r="H12" t="s">
        <v>16</v>
      </c>
    </row>
    <row r="13" spans="1:8" s="19" customFormat="1" x14ac:dyDescent="0.25">
      <c r="A13" s="19" t="s">
        <v>29</v>
      </c>
      <c r="B13" s="19" t="s">
        <v>28</v>
      </c>
      <c r="C13" s="25">
        <v>4</v>
      </c>
      <c r="D13" s="19" t="s">
        <v>7</v>
      </c>
      <c r="E13" s="19" t="s">
        <v>15</v>
      </c>
      <c r="G13" s="21" t="s">
        <v>39</v>
      </c>
      <c r="H13" s="19" t="s">
        <v>16</v>
      </c>
    </row>
    <row r="14" spans="1:8" x14ac:dyDescent="0.25">
      <c r="A14" t="s">
        <v>27</v>
      </c>
      <c r="B14" t="s">
        <v>35</v>
      </c>
      <c r="C14" s="11">
        <v>6</v>
      </c>
      <c r="D14" t="s">
        <v>7</v>
      </c>
      <c r="E14" t="s">
        <v>15</v>
      </c>
      <c r="G14" s="16" t="s">
        <v>39</v>
      </c>
      <c r="H14" t="s">
        <v>16</v>
      </c>
    </row>
    <row r="15" spans="1:8" x14ac:dyDescent="0.25">
      <c r="B15" t="s">
        <v>48</v>
      </c>
      <c r="C15" s="12">
        <v>2.3159999999999999E-4</v>
      </c>
      <c r="D15" t="s">
        <v>7</v>
      </c>
      <c r="F15" t="s">
        <v>21</v>
      </c>
      <c r="G15" s="16" t="s">
        <v>34</v>
      </c>
      <c r="H15" t="s">
        <v>19</v>
      </c>
    </row>
    <row r="16" spans="1:8" x14ac:dyDescent="0.25">
      <c r="B16" t="s">
        <v>20</v>
      </c>
      <c r="C16" s="12">
        <v>4.5030000000000005E-4</v>
      </c>
      <c r="D16" t="s">
        <v>7</v>
      </c>
      <c r="F16" t="s">
        <v>21</v>
      </c>
      <c r="G16" s="16" t="s">
        <v>34</v>
      </c>
      <c r="H16" t="s">
        <v>19</v>
      </c>
    </row>
    <row r="17" spans="1:8" x14ac:dyDescent="0.25">
      <c r="B17" t="s">
        <v>36</v>
      </c>
      <c r="C17" s="12">
        <v>3.5499999999999996E-5</v>
      </c>
      <c r="D17" t="s">
        <v>7</v>
      </c>
      <c r="F17" t="s">
        <v>21</v>
      </c>
      <c r="G17" s="16" t="s">
        <v>34</v>
      </c>
      <c r="H17" t="s">
        <v>19</v>
      </c>
    </row>
    <row r="18" spans="1:8" x14ac:dyDescent="0.25">
      <c r="A18" s="2"/>
      <c r="B18" s="2"/>
      <c r="C18" s="14"/>
      <c r="D18" s="2"/>
      <c r="E18" s="2"/>
      <c r="F18" s="2"/>
      <c r="G18" s="2"/>
      <c r="H18" s="2"/>
    </row>
    <row r="19" spans="1:8" x14ac:dyDescent="0.25">
      <c r="A19" s="18" t="s">
        <v>0</v>
      </c>
      <c r="B19" s="17" t="s">
        <v>62</v>
      </c>
      <c r="C19" s="13"/>
      <c r="D19" s="3"/>
      <c r="E19" s="3"/>
      <c r="F19" s="3"/>
      <c r="G19" s="3"/>
      <c r="H19" s="3"/>
    </row>
    <row r="20" spans="1:8" x14ac:dyDescent="0.25">
      <c r="A20" s="3" t="s">
        <v>1</v>
      </c>
      <c r="B20" s="6" t="s">
        <v>37</v>
      </c>
      <c r="C20" s="13"/>
      <c r="D20" s="3"/>
      <c r="E20" s="3"/>
      <c r="F20" s="3"/>
      <c r="G20" s="3"/>
      <c r="H20" s="3"/>
    </row>
    <row r="21" spans="1:8" x14ac:dyDescent="0.25">
      <c r="A21" s="3" t="s">
        <v>2</v>
      </c>
      <c r="B21" t="s">
        <v>3</v>
      </c>
      <c r="C21" s="13"/>
      <c r="D21" s="3"/>
      <c r="E21" s="3"/>
      <c r="F21" s="3"/>
      <c r="G21" s="3"/>
      <c r="H21" s="3"/>
    </row>
    <row r="22" spans="1:8" x14ac:dyDescent="0.25">
      <c r="A22" s="3" t="s">
        <v>4</v>
      </c>
      <c r="B22" s="8">
        <v>1</v>
      </c>
      <c r="C22" s="13"/>
      <c r="D22" s="3"/>
      <c r="E22" s="3"/>
      <c r="F22" s="3"/>
      <c r="G22" s="3"/>
      <c r="H22" s="3"/>
    </row>
    <row r="23" spans="1:8" x14ac:dyDescent="0.25">
      <c r="A23" s="3" t="s">
        <v>5</v>
      </c>
      <c r="B23" t="s">
        <v>63</v>
      </c>
      <c r="C23" s="13"/>
      <c r="D23" s="3"/>
      <c r="E23" s="3"/>
      <c r="F23" s="3"/>
      <c r="G23" s="3"/>
      <c r="H23" s="3"/>
    </row>
    <row r="24" spans="1:8" x14ac:dyDescent="0.25">
      <c r="A24" s="3" t="s">
        <v>6</v>
      </c>
      <c r="B24" t="s">
        <v>7</v>
      </c>
      <c r="C24" s="13"/>
      <c r="D24" s="3"/>
      <c r="E24" s="3"/>
      <c r="F24" s="3"/>
      <c r="G24" s="3"/>
      <c r="H24" s="3"/>
    </row>
    <row r="25" spans="1:8" x14ac:dyDescent="0.25">
      <c r="A25" s="1" t="s">
        <v>8</v>
      </c>
      <c r="B25" s="3"/>
      <c r="C25" s="13"/>
      <c r="D25" s="3"/>
      <c r="E25" s="3"/>
      <c r="F25" s="3"/>
      <c r="G25" s="3"/>
      <c r="H25" s="3"/>
    </row>
    <row r="26" spans="1:8" x14ac:dyDescent="0.25">
      <c r="A26" s="7" t="s">
        <v>5</v>
      </c>
      <c r="B26" s="6" t="s">
        <v>9</v>
      </c>
      <c r="C26" s="9" t="s">
        <v>10</v>
      </c>
      <c r="D26" s="6" t="s">
        <v>6</v>
      </c>
      <c r="E26" s="6" t="s">
        <v>2</v>
      </c>
      <c r="F26" s="6" t="s">
        <v>12</v>
      </c>
      <c r="G26" s="6" t="s">
        <v>11</v>
      </c>
      <c r="H26" s="7" t="s">
        <v>13</v>
      </c>
    </row>
    <row r="27" spans="1:8" x14ac:dyDescent="0.25">
      <c r="A27" t="s">
        <v>63</v>
      </c>
      <c r="B27" t="s">
        <v>62</v>
      </c>
      <c r="C27" s="10">
        <v>1</v>
      </c>
      <c r="D27" t="s">
        <v>7</v>
      </c>
      <c r="E27" t="s">
        <v>3</v>
      </c>
      <c r="G27" s="16" t="s">
        <v>38</v>
      </c>
      <c r="H27" t="s">
        <v>14</v>
      </c>
    </row>
    <row r="28" spans="1:8" x14ac:dyDescent="0.25">
      <c r="A28" t="s">
        <v>64</v>
      </c>
      <c r="B28" t="s">
        <v>58</v>
      </c>
      <c r="C28" s="10">
        <f>0.777*2</f>
        <v>1.554</v>
      </c>
      <c r="D28" t="s">
        <v>7</v>
      </c>
      <c r="E28" t="s">
        <v>59</v>
      </c>
      <c r="G28" s="16" t="s">
        <v>39</v>
      </c>
      <c r="H28" t="s">
        <v>16</v>
      </c>
    </row>
    <row r="29" spans="1:8" x14ac:dyDescent="0.25">
      <c r="A29" t="s">
        <v>53</v>
      </c>
      <c r="B29" t="s">
        <v>52</v>
      </c>
      <c r="C29" s="11">
        <v>7.0000000000000001E-3</v>
      </c>
      <c r="D29" t="s">
        <v>7</v>
      </c>
      <c r="E29" t="s">
        <v>3</v>
      </c>
      <c r="G29" s="16" t="s">
        <v>39</v>
      </c>
      <c r="H29" t="s">
        <v>16</v>
      </c>
    </row>
    <row r="30" spans="1:8" x14ac:dyDescent="0.25">
      <c r="A30" t="s">
        <v>24</v>
      </c>
      <c r="B30" t="s">
        <v>25</v>
      </c>
      <c r="C30" s="11">
        <v>12.1</v>
      </c>
      <c r="D30" t="s">
        <v>26</v>
      </c>
      <c r="E30" t="s">
        <v>3</v>
      </c>
      <c r="G30" s="16" t="s">
        <v>39</v>
      </c>
      <c r="H30" t="s">
        <v>16</v>
      </c>
    </row>
    <row r="31" spans="1:8" s="19" customFormat="1" x14ac:dyDescent="0.25">
      <c r="A31" s="19" t="s">
        <v>29</v>
      </c>
      <c r="B31" s="19" t="s">
        <v>28</v>
      </c>
      <c r="C31" s="25">
        <v>4</v>
      </c>
      <c r="D31" s="19" t="s">
        <v>7</v>
      </c>
      <c r="E31" s="19" t="s">
        <v>15</v>
      </c>
      <c r="G31" s="21" t="s">
        <v>39</v>
      </c>
      <c r="H31" s="19" t="s">
        <v>16</v>
      </c>
    </row>
    <row r="32" spans="1:8" x14ac:dyDescent="0.25">
      <c r="A32" t="s">
        <v>27</v>
      </c>
      <c r="B32" t="s">
        <v>35</v>
      </c>
      <c r="C32" s="11">
        <v>6</v>
      </c>
      <c r="D32" t="s">
        <v>7</v>
      </c>
      <c r="E32" t="s">
        <v>15</v>
      </c>
      <c r="G32" s="16" t="s">
        <v>39</v>
      </c>
      <c r="H32" t="s">
        <v>16</v>
      </c>
    </row>
    <row r="33" spans="1:8" x14ac:dyDescent="0.25">
      <c r="B33" t="s">
        <v>48</v>
      </c>
      <c r="C33" s="12">
        <v>2.3159999999999999E-4</v>
      </c>
      <c r="D33" t="s">
        <v>7</v>
      </c>
      <c r="F33" t="s">
        <v>21</v>
      </c>
      <c r="G33" s="16" t="s">
        <v>34</v>
      </c>
      <c r="H33" t="s">
        <v>19</v>
      </c>
    </row>
    <row r="34" spans="1:8" x14ac:dyDescent="0.25">
      <c r="B34" t="s">
        <v>20</v>
      </c>
      <c r="C34" s="12">
        <v>4.5030000000000005E-4</v>
      </c>
      <c r="D34" t="s">
        <v>7</v>
      </c>
      <c r="F34" t="s">
        <v>21</v>
      </c>
      <c r="G34" s="16" t="s">
        <v>34</v>
      </c>
      <c r="H34" t="s">
        <v>19</v>
      </c>
    </row>
    <row r="35" spans="1:8" x14ac:dyDescent="0.25">
      <c r="B35" t="s">
        <v>36</v>
      </c>
      <c r="C35" s="12">
        <v>3.5499999999999996E-5</v>
      </c>
      <c r="D35" t="s">
        <v>7</v>
      </c>
      <c r="F35" t="s">
        <v>21</v>
      </c>
      <c r="G35" s="16" t="s">
        <v>34</v>
      </c>
      <c r="H35" t="s">
        <v>19</v>
      </c>
    </row>
    <row r="36" spans="1:8" x14ac:dyDescent="0.25">
      <c r="A36" s="2"/>
      <c r="B36" s="2"/>
      <c r="C36" s="14"/>
      <c r="D36" s="2"/>
      <c r="E36" s="2"/>
      <c r="F36" s="2"/>
      <c r="G36" s="2"/>
      <c r="H36" s="2"/>
    </row>
    <row r="37" spans="1:8" x14ac:dyDescent="0.25">
      <c r="A37" s="18" t="s">
        <v>0</v>
      </c>
      <c r="B37" s="17" t="s">
        <v>195</v>
      </c>
      <c r="C37" s="13"/>
      <c r="D37" s="3"/>
      <c r="E37" s="3"/>
      <c r="F37" s="3"/>
      <c r="G37" s="3"/>
      <c r="H37" s="3"/>
    </row>
    <row r="38" spans="1:8" x14ac:dyDescent="0.25">
      <c r="A38" s="3" t="s">
        <v>1</v>
      </c>
      <c r="B38" s="6" t="s">
        <v>37</v>
      </c>
      <c r="C38" s="13"/>
      <c r="D38" s="3"/>
      <c r="E38" s="3"/>
      <c r="F38" s="3"/>
      <c r="G38" s="3"/>
      <c r="H38" s="3"/>
    </row>
    <row r="39" spans="1:8" x14ac:dyDescent="0.25">
      <c r="A39" s="3" t="s">
        <v>2</v>
      </c>
      <c r="B39" t="s">
        <v>3</v>
      </c>
      <c r="C39" s="13"/>
      <c r="D39" s="3"/>
      <c r="E39" s="3"/>
      <c r="F39" s="3"/>
      <c r="G39" s="3"/>
      <c r="H39" s="3"/>
    </row>
    <row r="40" spans="1:8" x14ac:dyDescent="0.25">
      <c r="A40" s="3" t="s">
        <v>4</v>
      </c>
      <c r="B40" s="8">
        <v>1</v>
      </c>
      <c r="C40" s="13"/>
      <c r="D40" s="3"/>
      <c r="E40" s="3"/>
      <c r="F40" s="3"/>
      <c r="G40" s="3"/>
      <c r="H40" s="3"/>
    </row>
    <row r="41" spans="1:8" x14ac:dyDescent="0.25">
      <c r="A41" s="3" t="s">
        <v>5</v>
      </c>
      <c r="B41" t="s">
        <v>196</v>
      </c>
      <c r="C41" s="13"/>
      <c r="D41" s="3"/>
      <c r="E41" s="3"/>
      <c r="F41" s="3"/>
      <c r="G41" s="3"/>
      <c r="H41" s="3"/>
    </row>
    <row r="42" spans="1:8" x14ac:dyDescent="0.25">
      <c r="A42" s="3" t="s">
        <v>6</v>
      </c>
      <c r="B42" t="s">
        <v>7</v>
      </c>
      <c r="C42" s="13"/>
      <c r="D42" s="3"/>
      <c r="E42" s="3"/>
      <c r="F42" s="3"/>
      <c r="G42" s="3"/>
      <c r="H42" s="3"/>
    </row>
    <row r="43" spans="1:8" x14ac:dyDescent="0.25">
      <c r="A43" s="1" t="s">
        <v>8</v>
      </c>
      <c r="B43" s="3"/>
      <c r="C43" s="13"/>
      <c r="D43" s="3"/>
      <c r="E43" s="3"/>
      <c r="F43" s="3"/>
      <c r="G43" s="3"/>
      <c r="H43" s="3"/>
    </row>
    <row r="44" spans="1:8" x14ac:dyDescent="0.25">
      <c r="A44" s="7" t="s">
        <v>5</v>
      </c>
      <c r="B44" s="6" t="s">
        <v>9</v>
      </c>
      <c r="C44" s="9" t="s">
        <v>10</v>
      </c>
      <c r="D44" s="6" t="s">
        <v>6</v>
      </c>
      <c r="E44" s="6" t="s">
        <v>2</v>
      </c>
      <c r="F44" s="6" t="s">
        <v>12</v>
      </c>
      <c r="G44" s="6" t="s">
        <v>11</v>
      </c>
      <c r="H44" s="7" t="s">
        <v>13</v>
      </c>
    </row>
    <row r="45" spans="1:8" x14ac:dyDescent="0.25">
      <c r="A45" t="s">
        <v>196</v>
      </c>
      <c r="B45" t="s">
        <v>195</v>
      </c>
      <c r="C45" s="10">
        <v>1</v>
      </c>
      <c r="D45" t="s">
        <v>7</v>
      </c>
      <c r="E45" t="s">
        <v>3</v>
      </c>
      <c r="G45" s="16" t="s">
        <v>38</v>
      </c>
      <c r="H45" t="s">
        <v>14</v>
      </c>
    </row>
    <row r="46" spans="1:8" x14ac:dyDescent="0.25">
      <c r="A46" t="s">
        <v>64</v>
      </c>
      <c r="B46" t="s">
        <v>58</v>
      </c>
      <c r="C46" s="10">
        <v>1.554</v>
      </c>
      <c r="D46" t="s">
        <v>7</v>
      </c>
      <c r="E46" t="s">
        <v>59</v>
      </c>
      <c r="G46" s="16" t="s">
        <v>39</v>
      </c>
      <c r="H46" t="s">
        <v>16</v>
      </c>
    </row>
    <row r="47" spans="1:8" x14ac:dyDescent="0.25">
      <c r="A47" t="s">
        <v>53</v>
      </c>
      <c r="B47" t="s">
        <v>52</v>
      </c>
      <c r="C47" s="11">
        <v>7.0000000000000001E-3</v>
      </c>
      <c r="D47" t="s">
        <v>7</v>
      </c>
      <c r="E47" t="s">
        <v>3</v>
      </c>
      <c r="G47" s="16" t="s">
        <v>39</v>
      </c>
      <c r="H47" t="s">
        <v>16</v>
      </c>
    </row>
    <row r="48" spans="1:8" x14ac:dyDescent="0.25">
      <c r="A48" t="s">
        <v>185</v>
      </c>
      <c r="B48" t="s">
        <v>186</v>
      </c>
      <c r="C48" s="11">
        <v>12.1</v>
      </c>
      <c r="D48" t="s">
        <v>26</v>
      </c>
      <c r="E48" t="s">
        <v>15</v>
      </c>
      <c r="G48" s="16" t="s">
        <v>39</v>
      </c>
      <c r="H48" t="s">
        <v>16</v>
      </c>
    </row>
    <row r="49" spans="1:8" x14ac:dyDescent="0.25">
      <c r="A49" s="19" t="s">
        <v>29</v>
      </c>
      <c r="B49" s="19" t="s">
        <v>28</v>
      </c>
      <c r="C49" s="25">
        <v>4</v>
      </c>
      <c r="D49" s="19" t="s">
        <v>7</v>
      </c>
      <c r="E49" s="19" t="s">
        <v>15</v>
      </c>
      <c r="F49" s="19"/>
      <c r="G49" s="21" t="s">
        <v>39</v>
      </c>
      <c r="H49" s="19" t="s">
        <v>16</v>
      </c>
    </row>
    <row r="50" spans="1:8" x14ac:dyDescent="0.25">
      <c r="A50" t="s">
        <v>27</v>
      </c>
      <c r="B50" t="s">
        <v>35</v>
      </c>
      <c r="C50" s="11">
        <v>6</v>
      </c>
      <c r="D50" t="s">
        <v>7</v>
      </c>
      <c r="E50" t="s">
        <v>15</v>
      </c>
      <c r="G50" s="16" t="s">
        <v>39</v>
      </c>
      <c r="H50" t="s">
        <v>16</v>
      </c>
    </row>
    <row r="51" spans="1:8" x14ac:dyDescent="0.25">
      <c r="B51" t="s">
        <v>48</v>
      </c>
      <c r="C51" s="12">
        <v>2.3159999999999999E-4</v>
      </c>
      <c r="D51" t="s">
        <v>7</v>
      </c>
      <c r="F51" t="s">
        <v>21</v>
      </c>
      <c r="G51" s="16" t="s">
        <v>34</v>
      </c>
      <c r="H51" t="s">
        <v>19</v>
      </c>
    </row>
    <row r="52" spans="1:8" x14ac:dyDescent="0.25">
      <c r="B52" t="s">
        <v>20</v>
      </c>
      <c r="C52" s="12">
        <v>4.5030000000000005E-4</v>
      </c>
      <c r="D52" t="s">
        <v>7</v>
      </c>
      <c r="F52" t="s">
        <v>21</v>
      </c>
      <c r="G52" s="16" t="s">
        <v>34</v>
      </c>
      <c r="H52" t="s">
        <v>19</v>
      </c>
    </row>
    <row r="53" spans="1:8" x14ac:dyDescent="0.25">
      <c r="B53" t="s">
        <v>36</v>
      </c>
      <c r="C53" s="12">
        <v>3.5499999999999996E-5</v>
      </c>
      <c r="D53" t="s">
        <v>7</v>
      </c>
      <c r="F53" t="s">
        <v>21</v>
      </c>
      <c r="G53" s="16" t="s">
        <v>34</v>
      </c>
      <c r="H53" t="s">
        <v>19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98B99-4609-4774-9365-048EAE598B55}">
  <dimension ref="A1:H35"/>
  <sheetViews>
    <sheetView workbookViewId="0">
      <selection activeCell="B34" sqref="B34"/>
    </sheetView>
  </sheetViews>
  <sheetFormatPr defaultRowHeight="15" x14ac:dyDescent="0.25"/>
  <cols>
    <col min="1" max="1" width="54.85546875" bestFit="1" customWidth="1"/>
    <col min="2" max="2" width="65.28515625" bestFit="1" customWidth="1"/>
    <col min="3" max="3" width="7.85546875" bestFit="1" customWidth="1"/>
    <col min="4" max="4" width="12.85546875" bestFit="1" customWidth="1"/>
    <col min="5" max="5" width="8.140625" bestFit="1" customWidth="1"/>
    <col min="6" max="6" width="10.140625" bestFit="1" customWidth="1"/>
    <col min="7" max="7" width="30.42578125" bestFit="1" customWidth="1"/>
    <col min="8" max="8" width="13.42578125" bestFit="1" customWidth="1"/>
  </cols>
  <sheetData>
    <row r="1" spans="1:8" x14ac:dyDescent="0.25">
      <c r="A1" s="18" t="s">
        <v>0</v>
      </c>
      <c r="B1" s="17" t="s">
        <v>151</v>
      </c>
      <c r="C1" s="13"/>
      <c r="D1" s="3"/>
      <c r="E1" s="3"/>
      <c r="F1" s="3"/>
      <c r="G1" s="3"/>
      <c r="H1" s="3"/>
    </row>
    <row r="2" spans="1:8" x14ac:dyDescent="0.25">
      <c r="A2" s="3" t="s">
        <v>1</v>
      </c>
      <c r="B2" s="6" t="s">
        <v>161</v>
      </c>
      <c r="C2" s="13"/>
      <c r="D2" s="3"/>
      <c r="E2" s="3"/>
      <c r="F2" s="3"/>
      <c r="G2" s="3"/>
      <c r="H2" s="3"/>
    </row>
    <row r="3" spans="1:8" x14ac:dyDescent="0.25">
      <c r="A3" s="3" t="s">
        <v>2</v>
      </c>
      <c r="B3" t="s">
        <v>3</v>
      </c>
      <c r="C3" s="13"/>
      <c r="D3" s="3"/>
      <c r="E3" s="3"/>
      <c r="F3" s="3"/>
      <c r="G3" s="3"/>
      <c r="H3" s="3"/>
    </row>
    <row r="4" spans="1:8" x14ac:dyDescent="0.25">
      <c r="A4" s="3" t="s">
        <v>4</v>
      </c>
      <c r="B4" s="8">
        <v>1</v>
      </c>
      <c r="C4" s="13"/>
      <c r="D4" s="3"/>
      <c r="E4" s="3"/>
      <c r="F4" s="3"/>
      <c r="G4" s="3"/>
      <c r="H4" s="3"/>
    </row>
    <row r="5" spans="1:8" x14ac:dyDescent="0.25">
      <c r="A5" s="3" t="s">
        <v>5</v>
      </c>
      <c r="B5" t="s">
        <v>153</v>
      </c>
      <c r="C5" s="13"/>
      <c r="D5" s="3"/>
      <c r="E5" s="3"/>
      <c r="F5" s="3"/>
      <c r="G5" s="3"/>
      <c r="H5" s="3"/>
    </row>
    <row r="6" spans="1:8" x14ac:dyDescent="0.25">
      <c r="A6" s="3" t="s">
        <v>6</v>
      </c>
      <c r="B6" t="s">
        <v>7</v>
      </c>
      <c r="C6" s="13"/>
      <c r="D6" s="3"/>
      <c r="E6" s="3"/>
      <c r="F6" s="3"/>
      <c r="G6" s="3"/>
      <c r="H6" s="3"/>
    </row>
    <row r="7" spans="1:8" x14ac:dyDescent="0.25">
      <c r="A7" s="1" t="s">
        <v>8</v>
      </c>
      <c r="B7" s="3"/>
      <c r="C7" s="13"/>
      <c r="D7" s="3"/>
      <c r="E7" s="3"/>
      <c r="F7" s="3"/>
      <c r="G7" s="3"/>
      <c r="H7" s="3"/>
    </row>
    <row r="8" spans="1:8" x14ac:dyDescent="0.25">
      <c r="A8" s="7" t="s">
        <v>5</v>
      </c>
      <c r="B8" s="6" t="s">
        <v>9</v>
      </c>
      <c r="C8" s="9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</row>
    <row r="9" spans="1:8" x14ac:dyDescent="0.25">
      <c r="A9" t="s">
        <v>153</v>
      </c>
      <c r="B9" t="s">
        <v>151</v>
      </c>
      <c r="C9" s="10">
        <v>1</v>
      </c>
      <c r="D9" t="s">
        <v>7</v>
      </c>
      <c r="E9" t="s">
        <v>3</v>
      </c>
      <c r="G9" s="16" t="s">
        <v>38</v>
      </c>
      <c r="H9" t="s">
        <v>14</v>
      </c>
    </row>
    <row r="10" spans="1:8" x14ac:dyDescent="0.25">
      <c r="A10" t="s">
        <v>30</v>
      </c>
      <c r="B10" t="s">
        <v>31</v>
      </c>
      <c r="C10" s="10">
        <f>1.48/0.777</f>
        <v>1.9047619047619047</v>
      </c>
      <c r="D10" t="s">
        <v>17</v>
      </c>
      <c r="E10" t="s">
        <v>3</v>
      </c>
      <c r="G10" s="16" t="s">
        <v>39</v>
      </c>
      <c r="H10" t="s">
        <v>16</v>
      </c>
    </row>
    <row r="11" spans="1:8" x14ac:dyDescent="0.25">
      <c r="A11" t="s">
        <v>24</v>
      </c>
      <c r="B11" t="s">
        <v>25</v>
      </c>
      <c r="C11" s="11">
        <v>12.65</v>
      </c>
      <c r="D11" t="s">
        <v>26</v>
      </c>
      <c r="E11" t="s">
        <v>3</v>
      </c>
      <c r="G11" s="16" t="s">
        <v>39</v>
      </c>
      <c r="H11" t="s">
        <v>16</v>
      </c>
    </row>
    <row r="12" spans="1:8" x14ac:dyDescent="0.25">
      <c r="A12" s="2"/>
      <c r="B12" s="2"/>
      <c r="C12" s="14"/>
      <c r="D12" s="2"/>
      <c r="E12" s="2"/>
      <c r="F12" s="2"/>
      <c r="G12" s="2"/>
      <c r="H12" s="2"/>
    </row>
    <row r="13" spans="1:8" x14ac:dyDescent="0.25">
      <c r="A13" s="18" t="s">
        <v>0</v>
      </c>
      <c r="B13" s="17" t="s">
        <v>152</v>
      </c>
      <c r="C13" s="13"/>
      <c r="D13" s="3"/>
      <c r="E13" s="3"/>
      <c r="F13" s="3"/>
      <c r="G13" s="3"/>
      <c r="H13" s="3"/>
    </row>
    <row r="14" spans="1:8" x14ac:dyDescent="0.25">
      <c r="A14" s="3" t="s">
        <v>1</v>
      </c>
      <c r="B14" s="6" t="s">
        <v>161</v>
      </c>
      <c r="C14" s="13"/>
      <c r="D14" s="3"/>
      <c r="E14" s="3"/>
      <c r="F14" s="3"/>
      <c r="G14" s="3"/>
      <c r="H14" s="3"/>
    </row>
    <row r="15" spans="1:8" x14ac:dyDescent="0.25">
      <c r="A15" s="3" t="s">
        <v>2</v>
      </c>
      <c r="B15" t="s">
        <v>3</v>
      </c>
      <c r="C15" s="13"/>
      <c r="D15" s="3"/>
      <c r="E15" s="3"/>
      <c r="F15" s="3"/>
      <c r="G15" s="3"/>
      <c r="H15" s="3"/>
    </row>
    <row r="16" spans="1:8" x14ac:dyDescent="0.25">
      <c r="A16" s="3" t="s">
        <v>4</v>
      </c>
      <c r="B16" s="8">
        <v>1</v>
      </c>
      <c r="C16" s="13"/>
      <c r="D16" s="3"/>
      <c r="E16" s="3"/>
      <c r="F16" s="3"/>
      <c r="G16" s="3"/>
      <c r="H16" s="3"/>
    </row>
    <row r="17" spans="1:8" x14ac:dyDescent="0.25">
      <c r="A17" s="3" t="s">
        <v>5</v>
      </c>
      <c r="B17" t="s">
        <v>154</v>
      </c>
      <c r="C17" s="13"/>
      <c r="D17" s="3"/>
      <c r="E17" s="3"/>
      <c r="F17" s="3"/>
      <c r="G17" s="3"/>
      <c r="H17" s="3"/>
    </row>
    <row r="18" spans="1:8" x14ac:dyDescent="0.25">
      <c r="A18" s="3" t="s">
        <v>6</v>
      </c>
      <c r="B18" t="s">
        <v>7</v>
      </c>
      <c r="C18" s="13"/>
      <c r="D18" s="3"/>
      <c r="E18" s="3"/>
      <c r="F18" s="3"/>
      <c r="G18" s="3"/>
      <c r="H18" s="3"/>
    </row>
    <row r="19" spans="1:8" x14ac:dyDescent="0.25">
      <c r="A19" s="1" t="s">
        <v>8</v>
      </c>
      <c r="B19" s="3"/>
      <c r="C19" s="13"/>
      <c r="D19" s="3"/>
      <c r="E19" s="3"/>
      <c r="F19" s="3"/>
      <c r="G19" s="3"/>
      <c r="H19" s="3"/>
    </row>
    <row r="20" spans="1:8" x14ac:dyDescent="0.25">
      <c r="A20" s="7" t="s">
        <v>5</v>
      </c>
      <c r="B20" s="6" t="s">
        <v>9</v>
      </c>
      <c r="C20" s="9" t="s">
        <v>10</v>
      </c>
      <c r="D20" s="6" t="s">
        <v>6</v>
      </c>
      <c r="E20" s="6" t="s">
        <v>2</v>
      </c>
      <c r="F20" s="6" t="s">
        <v>12</v>
      </c>
      <c r="G20" s="6" t="s">
        <v>11</v>
      </c>
      <c r="H20" s="7" t="s">
        <v>13</v>
      </c>
    </row>
    <row r="21" spans="1:8" x14ac:dyDescent="0.25">
      <c r="A21" t="s">
        <v>154</v>
      </c>
      <c r="B21" t="s">
        <v>152</v>
      </c>
      <c r="C21" s="10">
        <v>1</v>
      </c>
      <c r="D21" t="s">
        <v>7</v>
      </c>
      <c r="E21" t="s">
        <v>3</v>
      </c>
      <c r="G21" s="16" t="s">
        <v>38</v>
      </c>
      <c r="H21" t="s">
        <v>14</v>
      </c>
    </row>
    <row r="22" spans="1:8" x14ac:dyDescent="0.25">
      <c r="A22" t="s">
        <v>64</v>
      </c>
      <c r="B22" t="s">
        <v>58</v>
      </c>
      <c r="C22" s="10">
        <v>1.48</v>
      </c>
      <c r="D22" t="s">
        <v>7</v>
      </c>
      <c r="E22" t="s">
        <v>59</v>
      </c>
      <c r="G22" s="16" t="s">
        <v>39</v>
      </c>
      <c r="H22" t="s">
        <v>16</v>
      </c>
    </row>
    <row r="23" spans="1:8" x14ac:dyDescent="0.25">
      <c r="A23" t="s">
        <v>24</v>
      </c>
      <c r="B23" t="s">
        <v>25</v>
      </c>
      <c r="C23" s="11">
        <v>12.65</v>
      </c>
      <c r="D23" t="s">
        <v>26</v>
      </c>
      <c r="E23" t="s">
        <v>3</v>
      </c>
      <c r="G23" s="16" t="s">
        <v>39</v>
      </c>
      <c r="H23" t="s">
        <v>16</v>
      </c>
    </row>
    <row r="24" spans="1:8" x14ac:dyDescent="0.25">
      <c r="A24" s="2"/>
      <c r="B24" s="2"/>
      <c r="C24" s="14"/>
      <c r="D24" s="2"/>
      <c r="E24" s="2"/>
      <c r="F24" s="2"/>
      <c r="G24" s="2"/>
      <c r="H24" s="2"/>
    </row>
    <row r="25" spans="1:8" x14ac:dyDescent="0.25">
      <c r="A25" s="18" t="s">
        <v>0</v>
      </c>
      <c r="B25" s="17" t="s">
        <v>197</v>
      </c>
      <c r="C25" s="13"/>
      <c r="D25" s="3"/>
      <c r="E25" s="3"/>
      <c r="F25" s="3"/>
      <c r="G25" s="3"/>
      <c r="H25" s="3"/>
    </row>
    <row r="26" spans="1:8" x14ac:dyDescent="0.25">
      <c r="A26" s="3" t="s">
        <v>1</v>
      </c>
      <c r="B26" s="6" t="s">
        <v>161</v>
      </c>
      <c r="C26" s="13"/>
      <c r="D26" s="3"/>
      <c r="E26" s="3"/>
      <c r="F26" s="3"/>
      <c r="G26" s="3"/>
      <c r="H26" s="3"/>
    </row>
    <row r="27" spans="1:8" x14ac:dyDescent="0.25">
      <c r="A27" s="3" t="s">
        <v>2</v>
      </c>
      <c r="B27" t="s">
        <v>3</v>
      </c>
      <c r="C27" s="13"/>
      <c r="D27" s="3"/>
      <c r="E27" s="3"/>
      <c r="F27" s="3"/>
      <c r="G27" s="3"/>
      <c r="H27" s="3"/>
    </row>
    <row r="28" spans="1:8" x14ac:dyDescent="0.25">
      <c r="A28" s="3" t="s">
        <v>4</v>
      </c>
      <c r="B28" s="8">
        <v>1</v>
      </c>
      <c r="C28" s="13"/>
      <c r="D28" s="3"/>
      <c r="E28" s="3"/>
      <c r="F28" s="3"/>
      <c r="G28" s="3"/>
      <c r="H28" s="3"/>
    </row>
    <row r="29" spans="1:8" x14ac:dyDescent="0.25">
      <c r="A29" s="3" t="s">
        <v>5</v>
      </c>
      <c r="B29" t="s">
        <v>198</v>
      </c>
      <c r="C29" s="13"/>
      <c r="D29" s="3"/>
      <c r="E29" s="3"/>
      <c r="F29" s="3"/>
      <c r="G29" s="3"/>
      <c r="H29" s="3"/>
    </row>
    <row r="30" spans="1:8" x14ac:dyDescent="0.25">
      <c r="A30" s="3" t="s">
        <v>6</v>
      </c>
      <c r="B30" t="s">
        <v>7</v>
      </c>
      <c r="C30" s="13"/>
      <c r="D30" s="3"/>
      <c r="E30" s="3"/>
      <c r="F30" s="3"/>
      <c r="G30" s="3"/>
      <c r="H30" s="3"/>
    </row>
    <row r="31" spans="1:8" x14ac:dyDescent="0.25">
      <c r="A31" s="1" t="s">
        <v>8</v>
      </c>
      <c r="B31" s="3"/>
      <c r="C31" s="13"/>
      <c r="D31" s="3"/>
      <c r="E31" s="3"/>
      <c r="F31" s="3"/>
      <c r="G31" s="3"/>
      <c r="H31" s="3"/>
    </row>
    <row r="32" spans="1:8" x14ac:dyDescent="0.25">
      <c r="A32" s="7" t="s">
        <v>5</v>
      </c>
      <c r="B32" s="6" t="s">
        <v>9</v>
      </c>
      <c r="C32" s="9" t="s">
        <v>10</v>
      </c>
      <c r="D32" s="6" t="s">
        <v>6</v>
      </c>
      <c r="E32" s="6" t="s">
        <v>2</v>
      </c>
      <c r="F32" s="6" t="s">
        <v>12</v>
      </c>
      <c r="G32" s="6" t="s">
        <v>11</v>
      </c>
      <c r="H32" s="7" t="s">
        <v>13</v>
      </c>
    </row>
    <row r="33" spans="1:8" x14ac:dyDescent="0.25">
      <c r="A33" t="s">
        <v>198</v>
      </c>
      <c r="B33" t="s">
        <v>197</v>
      </c>
      <c r="C33" s="10">
        <v>1</v>
      </c>
      <c r="D33" t="s">
        <v>7</v>
      </c>
      <c r="E33" t="s">
        <v>3</v>
      </c>
      <c r="G33" s="16" t="s">
        <v>38</v>
      </c>
      <c r="H33" t="s">
        <v>14</v>
      </c>
    </row>
    <row r="34" spans="1:8" x14ac:dyDescent="0.25">
      <c r="A34" t="s">
        <v>64</v>
      </c>
      <c r="B34" t="s">
        <v>58</v>
      </c>
      <c r="C34" s="10">
        <v>1.48</v>
      </c>
      <c r="D34" t="s">
        <v>7</v>
      </c>
      <c r="E34" t="s">
        <v>59</v>
      </c>
      <c r="G34" s="16" t="s">
        <v>39</v>
      </c>
      <c r="H34" t="s">
        <v>16</v>
      </c>
    </row>
    <row r="35" spans="1:8" x14ac:dyDescent="0.25">
      <c r="A35" t="s">
        <v>185</v>
      </c>
      <c r="B35" t="s">
        <v>186</v>
      </c>
      <c r="C35" s="11">
        <v>12.65</v>
      </c>
      <c r="D35" t="s">
        <v>26</v>
      </c>
      <c r="E35" t="s">
        <v>15</v>
      </c>
      <c r="G35" s="16" t="s">
        <v>39</v>
      </c>
      <c r="H35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8551D-B5AF-425F-83DD-A4FE60594359}">
  <dimension ref="A1:H69"/>
  <sheetViews>
    <sheetView zoomScale="85" zoomScaleNormal="85" workbookViewId="0">
      <selection sqref="A1:H12"/>
    </sheetView>
  </sheetViews>
  <sheetFormatPr defaultRowHeight="15" x14ac:dyDescent="0.25"/>
  <cols>
    <col min="1" max="1" width="57.85546875" bestFit="1" customWidth="1"/>
    <col min="2" max="2" width="83.140625" bestFit="1" customWidth="1"/>
    <col min="3" max="3" width="8.140625" customWidth="1"/>
    <col min="4" max="4" width="13.5703125" bestFit="1" customWidth="1"/>
    <col min="5" max="5" width="8.7109375" bestFit="1" customWidth="1"/>
    <col min="6" max="6" width="28.42578125" bestFit="1" customWidth="1"/>
    <col min="7" max="7" width="35.5703125" bestFit="1" customWidth="1"/>
    <col min="8" max="8" width="13.85546875" bestFit="1" customWidth="1"/>
  </cols>
  <sheetData>
    <row r="1" spans="1:8" x14ac:dyDescent="0.25">
      <c r="A1" s="18" t="s">
        <v>0</v>
      </c>
      <c r="B1" s="17" t="s">
        <v>155</v>
      </c>
      <c r="C1" s="13"/>
      <c r="D1" s="3"/>
      <c r="E1" s="3"/>
      <c r="F1" s="3"/>
      <c r="G1" s="3"/>
      <c r="H1" s="3"/>
    </row>
    <row r="2" spans="1:8" x14ac:dyDescent="0.25">
      <c r="A2" s="3" t="s">
        <v>1</v>
      </c>
      <c r="B2" s="6" t="s">
        <v>201</v>
      </c>
      <c r="C2" s="13"/>
      <c r="D2" s="3"/>
      <c r="E2" s="3"/>
      <c r="F2" s="3"/>
      <c r="G2" s="3"/>
      <c r="H2" s="3"/>
    </row>
    <row r="3" spans="1:8" x14ac:dyDescent="0.25">
      <c r="A3" s="3" t="s">
        <v>2</v>
      </c>
      <c r="B3" t="s">
        <v>3</v>
      </c>
      <c r="C3" s="13"/>
      <c r="D3" s="3"/>
      <c r="E3" s="3"/>
      <c r="F3" s="3"/>
      <c r="G3" s="3"/>
      <c r="H3" s="3"/>
    </row>
    <row r="4" spans="1:8" x14ac:dyDescent="0.25">
      <c r="A4" s="3" t="s">
        <v>4</v>
      </c>
      <c r="B4" s="8">
        <v>1</v>
      </c>
      <c r="C4" s="13"/>
      <c r="D4" s="3"/>
      <c r="E4" s="3"/>
      <c r="F4" s="3"/>
      <c r="G4" s="3"/>
      <c r="H4" s="3"/>
    </row>
    <row r="5" spans="1:8" x14ac:dyDescent="0.25">
      <c r="A5" s="3" t="s">
        <v>5</v>
      </c>
      <c r="B5" t="s">
        <v>156</v>
      </c>
      <c r="C5" s="13"/>
      <c r="D5" s="3"/>
      <c r="E5" s="3"/>
      <c r="F5" s="3"/>
      <c r="G5" s="3"/>
      <c r="H5" s="3"/>
    </row>
    <row r="6" spans="1:8" x14ac:dyDescent="0.25">
      <c r="A6" s="3" t="s">
        <v>6</v>
      </c>
      <c r="B6" t="s">
        <v>7</v>
      </c>
      <c r="C6" s="13"/>
      <c r="D6" s="3"/>
      <c r="E6" s="3"/>
      <c r="F6" s="3"/>
      <c r="G6" s="3"/>
      <c r="H6" s="3"/>
    </row>
    <row r="7" spans="1:8" x14ac:dyDescent="0.25">
      <c r="A7" s="1" t="s">
        <v>8</v>
      </c>
      <c r="B7" s="3"/>
      <c r="C7" s="13"/>
      <c r="D7" s="3"/>
      <c r="E7" s="3"/>
      <c r="F7" s="3"/>
      <c r="G7" s="3"/>
      <c r="H7" s="3"/>
    </row>
    <row r="8" spans="1:8" x14ac:dyDescent="0.25">
      <c r="A8" s="7" t="s">
        <v>5</v>
      </c>
      <c r="B8" s="6" t="s">
        <v>9</v>
      </c>
      <c r="C8" s="9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</row>
    <row r="9" spans="1:8" x14ac:dyDescent="0.25">
      <c r="A9" t="s">
        <v>156</v>
      </c>
      <c r="B9" t="s">
        <v>155</v>
      </c>
      <c r="C9" s="10">
        <v>1</v>
      </c>
      <c r="D9" t="s">
        <v>7</v>
      </c>
      <c r="E9" t="s">
        <v>3</v>
      </c>
      <c r="G9" s="16" t="s">
        <v>38</v>
      </c>
      <c r="H9" t="s">
        <v>14</v>
      </c>
    </row>
    <row r="10" spans="1:8" x14ac:dyDescent="0.25">
      <c r="A10" t="s">
        <v>30</v>
      </c>
      <c r="B10" t="s">
        <v>31</v>
      </c>
      <c r="C10" s="10">
        <f>1.348/0.777</f>
        <v>1.7348777348777349</v>
      </c>
      <c r="D10" t="s">
        <v>17</v>
      </c>
      <c r="E10" t="s">
        <v>3</v>
      </c>
      <c r="G10" s="16" t="s">
        <v>39</v>
      </c>
      <c r="H10" t="s">
        <v>16</v>
      </c>
    </row>
    <row r="11" spans="1:8" x14ac:dyDescent="0.25">
      <c r="A11" s="3" t="s">
        <v>138</v>
      </c>
      <c r="B11" t="s">
        <v>162</v>
      </c>
      <c r="C11" s="10">
        <v>15.991</v>
      </c>
      <c r="D11" s="3" t="s">
        <v>23</v>
      </c>
      <c r="E11" s="3" t="s">
        <v>15</v>
      </c>
      <c r="G11" s="16" t="s">
        <v>39</v>
      </c>
      <c r="H11" t="s">
        <v>16</v>
      </c>
    </row>
    <row r="12" spans="1:8" x14ac:dyDescent="0.25">
      <c r="A12" s="2"/>
      <c r="B12" s="2"/>
      <c r="C12" s="14"/>
      <c r="D12" s="2"/>
      <c r="E12" s="2"/>
      <c r="F12" s="2"/>
      <c r="G12" s="2"/>
      <c r="H12" s="2"/>
    </row>
    <row r="13" spans="1:8" x14ac:dyDescent="0.25">
      <c r="A13" s="18" t="s">
        <v>0</v>
      </c>
      <c r="B13" s="17" t="s">
        <v>157</v>
      </c>
      <c r="C13" s="13"/>
      <c r="D13" s="3"/>
      <c r="E13" s="3"/>
      <c r="F13" s="3"/>
      <c r="G13" s="3"/>
      <c r="H13" s="3"/>
    </row>
    <row r="14" spans="1:8" x14ac:dyDescent="0.25">
      <c r="A14" s="3" t="s">
        <v>1</v>
      </c>
      <c r="B14" s="6" t="s">
        <v>201</v>
      </c>
      <c r="C14" s="13"/>
      <c r="D14" s="3"/>
      <c r="E14" s="3"/>
      <c r="F14" s="3"/>
      <c r="G14" s="3"/>
      <c r="H14" s="3"/>
    </row>
    <row r="15" spans="1:8" x14ac:dyDescent="0.25">
      <c r="A15" s="3" t="s">
        <v>2</v>
      </c>
      <c r="B15" t="s">
        <v>3</v>
      </c>
      <c r="C15" s="13"/>
      <c r="D15" s="3"/>
      <c r="E15" s="3"/>
      <c r="F15" s="3"/>
      <c r="G15" s="3"/>
      <c r="H15" s="3"/>
    </row>
    <row r="16" spans="1:8" x14ac:dyDescent="0.25">
      <c r="A16" s="3" t="s">
        <v>4</v>
      </c>
      <c r="B16" s="8">
        <v>1</v>
      </c>
      <c r="C16" s="13"/>
      <c r="D16" s="3"/>
      <c r="E16" s="3"/>
      <c r="F16" s="3"/>
      <c r="G16" s="3"/>
      <c r="H16" s="3"/>
    </row>
    <row r="17" spans="1:8" x14ac:dyDescent="0.25">
      <c r="A17" s="3" t="s">
        <v>5</v>
      </c>
      <c r="B17" t="s">
        <v>158</v>
      </c>
      <c r="C17" s="13"/>
      <c r="D17" s="3"/>
      <c r="E17" s="3"/>
      <c r="F17" s="3"/>
      <c r="G17" s="3"/>
      <c r="H17" s="3"/>
    </row>
    <row r="18" spans="1:8" x14ac:dyDescent="0.25">
      <c r="A18" s="3" t="s">
        <v>6</v>
      </c>
      <c r="B18" t="s">
        <v>7</v>
      </c>
      <c r="C18" s="13"/>
      <c r="D18" s="3"/>
      <c r="E18" s="3"/>
      <c r="F18" s="3"/>
      <c r="G18" s="3"/>
      <c r="H18" s="3"/>
    </row>
    <row r="19" spans="1:8" x14ac:dyDescent="0.25">
      <c r="A19" s="1" t="s">
        <v>8</v>
      </c>
      <c r="B19" s="3"/>
      <c r="C19" s="13"/>
      <c r="D19" s="3"/>
      <c r="E19" s="3"/>
      <c r="F19" s="3"/>
      <c r="G19" s="3"/>
      <c r="H19" s="3"/>
    </row>
    <row r="20" spans="1:8" x14ac:dyDescent="0.25">
      <c r="A20" s="7" t="s">
        <v>5</v>
      </c>
      <c r="B20" s="6" t="s">
        <v>9</v>
      </c>
      <c r="C20" s="9" t="s">
        <v>10</v>
      </c>
      <c r="D20" s="6" t="s">
        <v>6</v>
      </c>
      <c r="E20" s="6" t="s">
        <v>2</v>
      </c>
      <c r="F20" s="6" t="s">
        <v>12</v>
      </c>
      <c r="G20" s="6" t="s">
        <v>11</v>
      </c>
      <c r="H20" s="7" t="s">
        <v>13</v>
      </c>
    </row>
    <row r="21" spans="1:8" x14ac:dyDescent="0.25">
      <c r="A21" t="s">
        <v>158</v>
      </c>
      <c r="B21" t="s">
        <v>157</v>
      </c>
      <c r="C21" s="10">
        <v>1</v>
      </c>
      <c r="D21" t="s">
        <v>7</v>
      </c>
      <c r="E21" t="s">
        <v>3</v>
      </c>
      <c r="G21" s="16" t="s">
        <v>38</v>
      </c>
      <c r="H21" t="s">
        <v>14</v>
      </c>
    </row>
    <row r="22" spans="1:8" x14ac:dyDescent="0.25">
      <c r="A22" s="3" t="s">
        <v>138</v>
      </c>
      <c r="B22" t="s">
        <v>162</v>
      </c>
      <c r="C22" s="10">
        <v>15.991</v>
      </c>
      <c r="D22" s="3" t="s">
        <v>23</v>
      </c>
      <c r="E22" s="3" t="s">
        <v>15</v>
      </c>
      <c r="G22" s="16" t="s">
        <v>39</v>
      </c>
      <c r="H22" t="s">
        <v>16</v>
      </c>
    </row>
    <row r="23" spans="1:8" x14ac:dyDescent="0.25">
      <c r="A23" t="s">
        <v>64</v>
      </c>
      <c r="B23" t="s">
        <v>58</v>
      </c>
      <c r="C23" s="10">
        <v>1.3480000000000001</v>
      </c>
      <c r="D23" t="s">
        <v>7</v>
      </c>
      <c r="E23" t="s">
        <v>59</v>
      </c>
      <c r="G23" s="16" t="s">
        <v>39</v>
      </c>
      <c r="H23" t="s">
        <v>16</v>
      </c>
    </row>
    <row r="24" spans="1:8" x14ac:dyDescent="0.25">
      <c r="A24" s="2"/>
      <c r="B24" s="2"/>
      <c r="C24" s="14"/>
      <c r="D24" s="2"/>
      <c r="E24" s="2"/>
      <c r="F24" s="2"/>
      <c r="G24" s="2"/>
      <c r="H24" s="2"/>
    </row>
    <row r="25" spans="1:8" x14ac:dyDescent="0.25">
      <c r="A25" s="18" t="s">
        <v>0</v>
      </c>
      <c r="B25" s="17" t="s">
        <v>199</v>
      </c>
      <c r="C25" s="13"/>
      <c r="D25" s="3"/>
      <c r="E25" s="3"/>
      <c r="F25" s="3"/>
      <c r="G25" s="3"/>
      <c r="H25" s="3"/>
    </row>
    <row r="26" spans="1:8" x14ac:dyDescent="0.25">
      <c r="A26" s="3" t="s">
        <v>1</v>
      </c>
      <c r="B26" s="6" t="s">
        <v>201</v>
      </c>
      <c r="C26" s="13"/>
      <c r="D26" s="3"/>
      <c r="E26" s="3"/>
      <c r="F26" s="3"/>
      <c r="G26" s="3"/>
      <c r="H26" s="3"/>
    </row>
    <row r="27" spans="1:8" x14ac:dyDescent="0.25">
      <c r="A27" s="3" t="s">
        <v>2</v>
      </c>
      <c r="B27" t="s">
        <v>3</v>
      </c>
      <c r="C27" s="13"/>
      <c r="D27" s="3"/>
      <c r="E27" s="3"/>
      <c r="F27" s="3"/>
      <c r="G27" s="3"/>
      <c r="H27" s="3"/>
    </row>
    <row r="28" spans="1:8" x14ac:dyDescent="0.25">
      <c r="A28" s="3" t="s">
        <v>4</v>
      </c>
      <c r="B28" s="8">
        <v>1</v>
      </c>
      <c r="C28" s="13"/>
      <c r="D28" s="3"/>
      <c r="E28" s="3"/>
      <c r="F28" s="3"/>
      <c r="G28" s="3"/>
      <c r="H28" s="3"/>
    </row>
    <row r="29" spans="1:8" x14ac:dyDescent="0.25">
      <c r="A29" s="3" t="s">
        <v>5</v>
      </c>
      <c r="B29" t="s">
        <v>200</v>
      </c>
      <c r="C29" s="13"/>
      <c r="D29" s="3"/>
      <c r="E29" s="3"/>
      <c r="F29" s="3"/>
      <c r="G29" s="3"/>
      <c r="H29" s="3"/>
    </row>
    <row r="30" spans="1:8" x14ac:dyDescent="0.25">
      <c r="A30" s="3" t="s">
        <v>6</v>
      </c>
      <c r="B30" t="s">
        <v>7</v>
      </c>
      <c r="C30" s="13"/>
      <c r="D30" s="3"/>
      <c r="E30" s="3"/>
      <c r="F30" s="3"/>
      <c r="G30" s="3"/>
      <c r="H30" s="3"/>
    </row>
    <row r="31" spans="1:8" x14ac:dyDescent="0.25">
      <c r="A31" s="1" t="s">
        <v>8</v>
      </c>
      <c r="B31" s="3"/>
      <c r="C31" s="13"/>
      <c r="D31" s="3"/>
      <c r="E31" s="3"/>
      <c r="F31" s="3"/>
      <c r="G31" s="3"/>
      <c r="H31" s="3"/>
    </row>
    <row r="32" spans="1:8" x14ac:dyDescent="0.25">
      <c r="A32" s="7" t="s">
        <v>5</v>
      </c>
      <c r="B32" s="6" t="s">
        <v>9</v>
      </c>
      <c r="C32" s="9" t="s">
        <v>10</v>
      </c>
      <c r="D32" s="6" t="s">
        <v>6</v>
      </c>
      <c r="E32" s="6" t="s">
        <v>2</v>
      </c>
      <c r="F32" s="6" t="s">
        <v>12</v>
      </c>
      <c r="G32" s="6" t="s">
        <v>11</v>
      </c>
      <c r="H32" s="7" t="s">
        <v>13</v>
      </c>
    </row>
    <row r="33" spans="1:8" x14ac:dyDescent="0.25">
      <c r="A33" t="s">
        <v>200</v>
      </c>
      <c r="B33" t="s">
        <v>199</v>
      </c>
      <c r="C33" s="10">
        <v>1</v>
      </c>
      <c r="D33" t="s">
        <v>7</v>
      </c>
      <c r="E33" t="s">
        <v>3</v>
      </c>
      <c r="G33" s="16" t="s">
        <v>38</v>
      </c>
      <c r="H33" t="s">
        <v>14</v>
      </c>
    </row>
    <row r="34" spans="1:8" x14ac:dyDescent="0.25">
      <c r="A34" s="3" t="s">
        <v>138</v>
      </c>
      <c r="B34" t="s">
        <v>162</v>
      </c>
      <c r="C34" s="10">
        <v>15.991</v>
      </c>
      <c r="D34" s="3" t="s">
        <v>23</v>
      </c>
      <c r="E34" s="3" t="s">
        <v>15</v>
      </c>
      <c r="G34" s="16" t="s">
        <v>39</v>
      </c>
      <c r="H34" t="s">
        <v>16</v>
      </c>
    </row>
    <row r="35" spans="1:8" x14ac:dyDescent="0.25">
      <c r="A35" t="s">
        <v>64</v>
      </c>
      <c r="B35" t="s">
        <v>58</v>
      </c>
      <c r="C35" s="10">
        <v>1.3480000000000001</v>
      </c>
      <c r="D35" t="s">
        <v>7</v>
      </c>
      <c r="E35" t="s">
        <v>59</v>
      </c>
      <c r="G35" s="16" t="s">
        <v>39</v>
      </c>
      <c r="H35" t="s">
        <v>16</v>
      </c>
    </row>
    <row r="36" spans="1:8" x14ac:dyDescent="0.25">
      <c r="A36" s="2"/>
      <c r="B36" s="2"/>
      <c r="C36" s="14"/>
      <c r="D36" s="2"/>
      <c r="E36" s="2"/>
      <c r="F36" s="2"/>
      <c r="G36" s="2"/>
      <c r="H36" s="2"/>
    </row>
    <row r="37" spans="1:8" x14ac:dyDescent="0.25">
      <c r="A37" s="1" t="s">
        <v>0</v>
      </c>
      <c r="B37" s="22" t="s">
        <v>163</v>
      </c>
      <c r="C37" s="13"/>
      <c r="D37" s="3"/>
      <c r="E37" s="3"/>
      <c r="F37" s="3"/>
      <c r="G37" s="3"/>
      <c r="H37" s="3"/>
    </row>
    <row r="38" spans="1:8" x14ac:dyDescent="0.25">
      <c r="A38" s="3" t="s">
        <v>1</v>
      </c>
      <c r="B38" s="6" t="s">
        <v>164</v>
      </c>
      <c r="C38" s="13"/>
      <c r="D38" s="3"/>
      <c r="E38" s="3"/>
      <c r="F38" s="3"/>
      <c r="G38" s="3"/>
      <c r="H38" s="3"/>
    </row>
    <row r="39" spans="1:8" x14ac:dyDescent="0.25">
      <c r="A39" s="3" t="s">
        <v>2</v>
      </c>
      <c r="B39" s="6" t="s">
        <v>3</v>
      </c>
      <c r="C39" s="13"/>
      <c r="D39" s="3"/>
      <c r="E39" s="3"/>
      <c r="F39" s="3"/>
      <c r="G39" s="3"/>
      <c r="H39" s="3"/>
    </row>
    <row r="40" spans="1:8" x14ac:dyDescent="0.25">
      <c r="A40" s="3" t="s">
        <v>4</v>
      </c>
      <c r="B40" s="8">
        <v>1</v>
      </c>
      <c r="C40" s="13"/>
      <c r="D40" s="3"/>
      <c r="E40" s="3"/>
      <c r="F40" s="3"/>
      <c r="G40" s="3"/>
      <c r="H40" s="3"/>
    </row>
    <row r="41" spans="1:8" x14ac:dyDescent="0.25">
      <c r="A41" s="3" t="s">
        <v>5</v>
      </c>
      <c r="B41" t="s">
        <v>163</v>
      </c>
      <c r="C41" s="13"/>
      <c r="D41" s="3"/>
      <c r="E41" s="3"/>
      <c r="F41" s="3"/>
      <c r="G41" s="3"/>
      <c r="H41" s="3"/>
    </row>
    <row r="42" spans="1:8" x14ac:dyDescent="0.25">
      <c r="A42" s="3" t="s">
        <v>6</v>
      </c>
      <c r="B42" t="s">
        <v>23</v>
      </c>
      <c r="C42" s="13"/>
      <c r="D42" s="3"/>
      <c r="E42" s="3"/>
      <c r="F42" s="3"/>
      <c r="G42" s="3"/>
      <c r="H42" s="3"/>
    </row>
    <row r="43" spans="1:8" x14ac:dyDescent="0.25">
      <c r="A43" s="1" t="s">
        <v>8</v>
      </c>
      <c r="B43" s="3"/>
      <c r="C43" s="13"/>
      <c r="D43" s="3"/>
      <c r="E43" s="3"/>
      <c r="F43" s="3"/>
      <c r="G43" s="3"/>
      <c r="H43" s="3"/>
    </row>
    <row r="44" spans="1:8" x14ac:dyDescent="0.25">
      <c r="A44" s="7" t="s">
        <v>5</v>
      </c>
      <c r="B44" s="6" t="s">
        <v>9</v>
      </c>
      <c r="C44" s="9" t="s">
        <v>10</v>
      </c>
      <c r="D44" s="6" t="s">
        <v>6</v>
      </c>
      <c r="E44" s="6" t="s">
        <v>2</v>
      </c>
      <c r="F44" s="6" t="s">
        <v>12</v>
      </c>
      <c r="G44" s="6" t="s">
        <v>11</v>
      </c>
      <c r="H44" s="7" t="s">
        <v>13</v>
      </c>
    </row>
    <row r="45" spans="1:8" x14ac:dyDescent="0.25">
      <c r="A45" t="s">
        <v>163</v>
      </c>
      <c r="B45" t="s">
        <v>163</v>
      </c>
      <c r="C45" s="11">
        <v>1</v>
      </c>
      <c r="D45" t="s">
        <v>23</v>
      </c>
      <c r="E45" t="s">
        <v>3</v>
      </c>
      <c r="G45" s="16" t="s">
        <v>38</v>
      </c>
      <c r="H45" s="3" t="s">
        <v>14</v>
      </c>
    </row>
    <row r="46" spans="1:8" x14ac:dyDescent="0.25">
      <c r="A46" t="s">
        <v>64</v>
      </c>
      <c r="B46" t="s">
        <v>58</v>
      </c>
      <c r="C46" s="10">
        <f>0.029*0.777</f>
        <v>2.2533000000000001E-2</v>
      </c>
      <c r="D46" t="s">
        <v>7</v>
      </c>
      <c r="E46" t="s">
        <v>59</v>
      </c>
      <c r="G46" s="16" t="s">
        <v>39</v>
      </c>
      <c r="H46" t="s">
        <v>16</v>
      </c>
    </row>
    <row r="47" spans="1:8" x14ac:dyDescent="0.25">
      <c r="A47" s="26" t="s">
        <v>24</v>
      </c>
      <c r="B47" s="26" t="s">
        <v>25</v>
      </c>
      <c r="C47" s="11">
        <v>1.1684210526315796E-3</v>
      </c>
      <c r="D47" t="s">
        <v>26</v>
      </c>
      <c r="E47" t="s">
        <v>3</v>
      </c>
      <c r="G47" s="16" t="s">
        <v>39</v>
      </c>
      <c r="H47" t="s">
        <v>16</v>
      </c>
    </row>
    <row r="48" spans="1:8" x14ac:dyDescent="0.25">
      <c r="A48" t="s">
        <v>165</v>
      </c>
      <c r="B48" t="s">
        <v>166</v>
      </c>
      <c r="C48" s="12">
        <v>2.9473684210526298E-9</v>
      </c>
      <c r="D48" t="s">
        <v>6</v>
      </c>
      <c r="E48" t="s">
        <v>3</v>
      </c>
      <c r="G48" s="16" t="s">
        <v>39</v>
      </c>
      <c r="H48" t="s">
        <v>16</v>
      </c>
    </row>
    <row r="49" spans="2:8" x14ac:dyDescent="0.25">
      <c r="B49" t="s">
        <v>167</v>
      </c>
      <c r="C49" s="12">
        <v>1.05263157894737E-9</v>
      </c>
      <c r="D49" t="s">
        <v>7</v>
      </c>
      <c r="F49" t="s">
        <v>168</v>
      </c>
      <c r="G49" s="16" t="s">
        <v>34</v>
      </c>
      <c r="H49" t="s">
        <v>19</v>
      </c>
    </row>
    <row r="50" spans="2:8" x14ac:dyDescent="0.25">
      <c r="B50" t="s">
        <v>169</v>
      </c>
      <c r="C50" s="12">
        <v>1.5789473684210501E-7</v>
      </c>
      <c r="D50" t="s">
        <v>7</v>
      </c>
      <c r="F50" t="s">
        <v>168</v>
      </c>
      <c r="G50" s="16" t="s">
        <v>34</v>
      </c>
      <c r="H50" t="s">
        <v>19</v>
      </c>
    </row>
    <row r="51" spans="2:8" x14ac:dyDescent="0.25">
      <c r="B51" t="s">
        <v>170</v>
      </c>
      <c r="C51" s="12">
        <v>4.2105263157894701E-7</v>
      </c>
      <c r="D51" t="s">
        <v>7</v>
      </c>
      <c r="F51" t="s">
        <v>168</v>
      </c>
      <c r="G51" s="16" t="s">
        <v>34</v>
      </c>
      <c r="H51" t="s">
        <v>19</v>
      </c>
    </row>
    <row r="52" spans="2:8" x14ac:dyDescent="0.25">
      <c r="B52" t="s">
        <v>171</v>
      </c>
      <c r="C52" s="12">
        <v>1.0526315789473699E-11</v>
      </c>
      <c r="D52" t="s">
        <v>7</v>
      </c>
      <c r="F52" t="s">
        <v>168</v>
      </c>
      <c r="G52" s="16" t="s">
        <v>34</v>
      </c>
      <c r="H52" t="s">
        <v>19</v>
      </c>
    </row>
    <row r="53" spans="2:8" x14ac:dyDescent="0.25">
      <c r="B53" t="s">
        <v>172</v>
      </c>
      <c r="C53" s="12">
        <v>7.3684210526315803E-7</v>
      </c>
      <c r="D53" t="s">
        <v>7</v>
      </c>
      <c r="F53" t="s">
        <v>168</v>
      </c>
      <c r="G53" s="16" t="s">
        <v>34</v>
      </c>
      <c r="H53" t="s">
        <v>19</v>
      </c>
    </row>
    <row r="54" spans="2:8" x14ac:dyDescent="0.25">
      <c r="B54" t="s">
        <v>173</v>
      </c>
      <c r="C54" s="11">
        <v>5.8947368421052602E-2</v>
      </c>
      <c r="D54" t="s">
        <v>7</v>
      </c>
      <c r="F54" t="s">
        <v>168</v>
      </c>
      <c r="G54" s="16" t="s">
        <v>34</v>
      </c>
      <c r="H54" t="s">
        <v>19</v>
      </c>
    </row>
    <row r="55" spans="2:8" x14ac:dyDescent="0.25">
      <c r="B55" t="s">
        <v>174</v>
      </c>
      <c r="C55" s="12">
        <v>2.21052631578947E-6</v>
      </c>
      <c r="D55" t="s">
        <v>7</v>
      </c>
      <c r="F55" t="s">
        <v>168</v>
      </c>
      <c r="G55" s="16" t="s">
        <v>34</v>
      </c>
      <c r="H55" t="s">
        <v>19</v>
      </c>
    </row>
    <row r="56" spans="2:8" x14ac:dyDescent="0.25">
      <c r="B56" t="s">
        <v>112</v>
      </c>
      <c r="C56" s="12">
        <v>1.05263157894737E-7</v>
      </c>
      <c r="D56" t="s">
        <v>7</v>
      </c>
      <c r="F56" t="s">
        <v>168</v>
      </c>
      <c r="G56" s="16" t="s">
        <v>34</v>
      </c>
      <c r="H56" t="s">
        <v>19</v>
      </c>
    </row>
    <row r="57" spans="2:8" x14ac:dyDescent="0.25">
      <c r="B57" t="s">
        <v>175</v>
      </c>
      <c r="C57" s="12">
        <v>3.1578947368421099E-17</v>
      </c>
      <c r="D57" t="s">
        <v>7</v>
      </c>
      <c r="F57" t="s">
        <v>168</v>
      </c>
      <c r="G57" s="16" t="s">
        <v>34</v>
      </c>
      <c r="H57" t="s">
        <v>19</v>
      </c>
    </row>
    <row r="58" spans="2:8" x14ac:dyDescent="0.25">
      <c r="B58" t="s">
        <v>176</v>
      </c>
      <c r="C58" s="12">
        <v>1.05263157894737E-7</v>
      </c>
      <c r="D58" t="s">
        <v>7</v>
      </c>
      <c r="F58" t="s">
        <v>168</v>
      </c>
      <c r="G58" s="16" t="s">
        <v>34</v>
      </c>
      <c r="H58" t="s">
        <v>19</v>
      </c>
    </row>
    <row r="59" spans="2:8" x14ac:dyDescent="0.25">
      <c r="B59" t="s">
        <v>177</v>
      </c>
      <c r="C59" s="12">
        <v>3.1578947368420999E-11</v>
      </c>
      <c r="D59" t="s">
        <v>7</v>
      </c>
      <c r="F59" t="s">
        <v>168</v>
      </c>
      <c r="G59" s="16" t="s">
        <v>34</v>
      </c>
      <c r="H59" t="s">
        <v>19</v>
      </c>
    </row>
    <row r="60" spans="2:8" x14ac:dyDescent="0.25">
      <c r="B60" t="s">
        <v>178</v>
      </c>
      <c r="C60" s="12">
        <v>2.10526315789474E-6</v>
      </c>
      <c r="D60" t="s">
        <v>7</v>
      </c>
      <c r="F60" t="s">
        <v>168</v>
      </c>
      <c r="G60" s="16" t="s">
        <v>34</v>
      </c>
      <c r="H60" t="s">
        <v>19</v>
      </c>
    </row>
    <row r="61" spans="2:8" x14ac:dyDescent="0.25">
      <c r="B61" t="s">
        <v>20</v>
      </c>
      <c r="C61" s="12">
        <v>1.8842105263157901E-5</v>
      </c>
      <c r="D61" t="s">
        <v>7</v>
      </c>
      <c r="F61" t="s">
        <v>168</v>
      </c>
      <c r="G61" s="16" t="s">
        <v>34</v>
      </c>
      <c r="H61" t="s">
        <v>19</v>
      </c>
    </row>
    <row r="62" spans="2:8" x14ac:dyDescent="0.25">
      <c r="B62" t="s">
        <v>179</v>
      </c>
      <c r="C62" s="12">
        <v>1.0526315789473701E-8</v>
      </c>
      <c r="D62" t="s">
        <v>7</v>
      </c>
      <c r="F62" t="s">
        <v>168</v>
      </c>
      <c r="G62" s="16" t="s">
        <v>34</v>
      </c>
      <c r="H62" t="s">
        <v>19</v>
      </c>
    </row>
    <row r="63" spans="2:8" x14ac:dyDescent="0.25">
      <c r="B63" t="s">
        <v>143</v>
      </c>
      <c r="C63" s="12">
        <v>2.1052631578947401E-7</v>
      </c>
      <c r="D63" t="s">
        <v>7</v>
      </c>
      <c r="F63" t="s">
        <v>168</v>
      </c>
      <c r="G63" s="16" t="s">
        <v>34</v>
      </c>
      <c r="H63" t="s">
        <v>19</v>
      </c>
    </row>
    <row r="64" spans="2:8" x14ac:dyDescent="0.25">
      <c r="B64" t="s">
        <v>180</v>
      </c>
      <c r="C64" s="12">
        <v>1.2631578947368401E-6</v>
      </c>
      <c r="D64" t="s">
        <v>7</v>
      </c>
      <c r="F64" t="s">
        <v>168</v>
      </c>
      <c r="G64" s="16" t="s">
        <v>34</v>
      </c>
      <c r="H64" t="s">
        <v>19</v>
      </c>
    </row>
    <row r="65" spans="2:8" x14ac:dyDescent="0.25">
      <c r="B65" t="s">
        <v>181</v>
      </c>
      <c r="C65" s="12">
        <v>2.1052631578947401E-7</v>
      </c>
      <c r="D65" t="s">
        <v>7</v>
      </c>
      <c r="F65" t="s">
        <v>168</v>
      </c>
      <c r="G65" s="16" t="s">
        <v>34</v>
      </c>
      <c r="H65" t="s">
        <v>19</v>
      </c>
    </row>
    <row r="66" spans="2:8" x14ac:dyDescent="0.25">
      <c r="B66" t="s">
        <v>182</v>
      </c>
      <c r="C66" s="12">
        <v>2.1052631578947401E-8</v>
      </c>
      <c r="D66" t="s">
        <v>7</v>
      </c>
      <c r="F66" t="s">
        <v>168</v>
      </c>
      <c r="G66" s="16" t="s">
        <v>34</v>
      </c>
      <c r="H66" t="s">
        <v>19</v>
      </c>
    </row>
    <row r="67" spans="2:8" x14ac:dyDescent="0.25">
      <c r="B67" t="s">
        <v>140</v>
      </c>
      <c r="C67" s="12">
        <v>5.7894736842105305E-7</v>
      </c>
      <c r="D67" t="s">
        <v>7</v>
      </c>
      <c r="F67" t="s">
        <v>168</v>
      </c>
      <c r="G67" s="16" t="s">
        <v>34</v>
      </c>
      <c r="H67" t="s">
        <v>19</v>
      </c>
    </row>
    <row r="68" spans="2:8" x14ac:dyDescent="0.25">
      <c r="B68" t="s">
        <v>183</v>
      </c>
      <c r="C68" s="12">
        <v>2.1052631578947401E-7</v>
      </c>
      <c r="D68" t="s">
        <v>7</v>
      </c>
      <c r="F68" t="s">
        <v>168</v>
      </c>
      <c r="G68" s="16" t="s">
        <v>34</v>
      </c>
      <c r="H68" t="s">
        <v>19</v>
      </c>
    </row>
    <row r="69" spans="2:8" x14ac:dyDescent="0.25">
      <c r="G69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8BCA-704A-420C-8F17-3BC0E9C43685}">
  <dimension ref="A1:H63"/>
  <sheetViews>
    <sheetView workbookViewId="0">
      <selection activeCell="D55" sqref="D55"/>
    </sheetView>
  </sheetViews>
  <sheetFormatPr defaultRowHeight="15" x14ac:dyDescent="0.25"/>
  <cols>
    <col min="1" max="1" width="37.140625" bestFit="1" customWidth="1"/>
    <col min="2" max="2" width="64.42578125" bestFit="1" customWidth="1"/>
    <col min="3" max="3" width="7.85546875" bestFit="1" customWidth="1"/>
    <col min="4" max="4" width="12.85546875" bestFit="1" customWidth="1"/>
    <col min="5" max="5" width="8.140625" bestFit="1" customWidth="1"/>
    <col min="6" max="6" width="10.140625" bestFit="1" customWidth="1"/>
    <col min="7" max="7" width="30.42578125" bestFit="1" customWidth="1"/>
    <col min="8" max="8" width="13.42578125" bestFit="1" customWidth="1"/>
  </cols>
  <sheetData>
    <row r="1" spans="1:8" x14ac:dyDescent="0.25">
      <c r="A1" s="18" t="s">
        <v>0</v>
      </c>
      <c r="B1" s="17" t="s">
        <v>202</v>
      </c>
      <c r="C1" s="13"/>
      <c r="D1" s="3"/>
      <c r="E1" s="3"/>
      <c r="F1" s="3"/>
      <c r="G1" s="3"/>
      <c r="H1" s="3"/>
    </row>
    <row r="2" spans="1:8" x14ac:dyDescent="0.25">
      <c r="A2" s="3" t="s">
        <v>1</v>
      </c>
      <c r="B2" s="6" t="s">
        <v>203</v>
      </c>
      <c r="C2" s="13"/>
      <c r="D2" s="3"/>
      <c r="E2" s="3"/>
      <c r="F2" s="3"/>
      <c r="G2" s="3"/>
      <c r="H2" s="3"/>
    </row>
    <row r="3" spans="1:8" x14ac:dyDescent="0.25">
      <c r="A3" s="3" t="s">
        <v>2</v>
      </c>
      <c r="B3" t="s">
        <v>3</v>
      </c>
      <c r="C3" s="13"/>
      <c r="D3" s="3"/>
      <c r="E3" s="3"/>
      <c r="F3" s="3"/>
      <c r="G3" s="3"/>
      <c r="H3" s="3"/>
    </row>
    <row r="4" spans="1:8" x14ac:dyDescent="0.25">
      <c r="A4" s="3" t="s">
        <v>4</v>
      </c>
      <c r="B4" s="8">
        <v>1</v>
      </c>
      <c r="C4" s="13"/>
      <c r="D4" s="3"/>
      <c r="E4" s="3"/>
      <c r="F4" s="3"/>
      <c r="G4" s="3"/>
      <c r="H4" s="3"/>
    </row>
    <row r="5" spans="1:8" x14ac:dyDescent="0.25">
      <c r="A5" s="3" t="s">
        <v>5</v>
      </c>
      <c r="B5" t="s">
        <v>204</v>
      </c>
      <c r="C5" s="13"/>
      <c r="D5" s="3"/>
      <c r="E5" s="3"/>
      <c r="F5" s="3"/>
      <c r="G5" s="3"/>
      <c r="H5" s="3"/>
    </row>
    <row r="6" spans="1:8" x14ac:dyDescent="0.25">
      <c r="A6" s="3" t="s">
        <v>6</v>
      </c>
      <c r="B6" t="s">
        <v>7</v>
      </c>
      <c r="C6" s="13"/>
      <c r="D6" s="3"/>
      <c r="E6" s="3"/>
      <c r="F6" s="3"/>
      <c r="G6" s="3"/>
      <c r="H6" s="3"/>
    </row>
    <row r="7" spans="1:8" x14ac:dyDescent="0.25">
      <c r="A7" s="1" t="s">
        <v>8</v>
      </c>
      <c r="B7" s="3"/>
      <c r="C7" s="13"/>
      <c r="D7" s="3"/>
      <c r="E7" s="3"/>
      <c r="F7" s="3"/>
      <c r="G7" s="3"/>
      <c r="H7" s="3"/>
    </row>
    <row r="8" spans="1:8" x14ac:dyDescent="0.25">
      <c r="A8" s="7" t="s">
        <v>5</v>
      </c>
      <c r="B8" s="6" t="s">
        <v>9</v>
      </c>
      <c r="C8" s="9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</row>
    <row r="9" spans="1:8" x14ac:dyDescent="0.25">
      <c r="A9" t="s">
        <v>204</v>
      </c>
      <c r="B9" t="s">
        <v>202</v>
      </c>
      <c r="C9" s="10">
        <v>1</v>
      </c>
      <c r="D9" t="s">
        <v>7</v>
      </c>
      <c r="E9" t="s">
        <v>3</v>
      </c>
      <c r="G9" s="16" t="s">
        <v>38</v>
      </c>
      <c r="H9" t="s">
        <v>14</v>
      </c>
    </row>
    <row r="10" spans="1:8" x14ac:dyDescent="0.25">
      <c r="A10" t="s">
        <v>209</v>
      </c>
      <c r="B10" t="s">
        <v>209</v>
      </c>
      <c r="C10" s="10">
        <v>2.15</v>
      </c>
      <c r="D10" t="s">
        <v>23</v>
      </c>
      <c r="E10" t="s">
        <v>3</v>
      </c>
      <c r="G10" s="16" t="s">
        <v>38</v>
      </c>
      <c r="H10" t="s">
        <v>16</v>
      </c>
    </row>
    <row r="11" spans="1:8" x14ac:dyDescent="0.25">
      <c r="A11" t="s">
        <v>206</v>
      </c>
      <c r="B11" t="s">
        <v>205</v>
      </c>
      <c r="C11" s="10">
        <v>0.45300000000000001</v>
      </c>
      <c r="D11" t="s">
        <v>7</v>
      </c>
      <c r="E11" t="s">
        <v>15</v>
      </c>
      <c r="G11" s="16" t="s">
        <v>39</v>
      </c>
      <c r="H11" t="s">
        <v>16</v>
      </c>
    </row>
    <row r="12" spans="1:8" x14ac:dyDescent="0.25">
      <c r="A12" t="s">
        <v>208</v>
      </c>
      <c r="B12" t="s">
        <v>207</v>
      </c>
      <c r="C12" s="10">
        <v>0.57099999999999995</v>
      </c>
      <c r="D12" t="s">
        <v>7</v>
      </c>
      <c r="E12" t="s">
        <v>15</v>
      </c>
      <c r="G12" s="16" t="s">
        <v>39</v>
      </c>
      <c r="H12" t="s">
        <v>16</v>
      </c>
    </row>
    <row r="13" spans="1:8" x14ac:dyDescent="0.25">
      <c r="A13" t="s">
        <v>27</v>
      </c>
      <c r="B13" t="s">
        <v>35</v>
      </c>
      <c r="C13" s="11">
        <v>196.84700000000001</v>
      </c>
      <c r="D13" t="s">
        <v>7</v>
      </c>
      <c r="E13" t="s">
        <v>15</v>
      </c>
      <c r="G13" s="16" t="s">
        <v>39</v>
      </c>
      <c r="H13" t="s">
        <v>16</v>
      </c>
    </row>
    <row r="14" spans="1:8" x14ac:dyDescent="0.25">
      <c r="A14" s="3" t="s">
        <v>138</v>
      </c>
      <c r="B14" t="s">
        <v>162</v>
      </c>
      <c r="C14" s="10">
        <v>2.38</v>
      </c>
      <c r="D14" s="3" t="s">
        <v>23</v>
      </c>
      <c r="E14" s="3" t="s">
        <v>15</v>
      </c>
      <c r="G14" s="16" t="s">
        <v>39</v>
      </c>
      <c r="H14" t="s">
        <v>16</v>
      </c>
    </row>
    <row r="15" spans="1:8" x14ac:dyDescent="0.25">
      <c r="A15" t="s">
        <v>24</v>
      </c>
      <c r="B15" t="s">
        <v>25</v>
      </c>
      <c r="C15" s="11">
        <v>2.4E-2</v>
      </c>
      <c r="D15" t="s">
        <v>26</v>
      </c>
      <c r="E15" t="s">
        <v>3</v>
      </c>
      <c r="G15" s="16" t="s">
        <v>39</v>
      </c>
      <c r="H15" t="s">
        <v>16</v>
      </c>
    </row>
    <row r="16" spans="1:8" x14ac:dyDescent="0.25">
      <c r="B16" t="s">
        <v>210</v>
      </c>
      <c r="C16" s="10">
        <f>0.004</f>
        <v>4.0000000000000001E-3</v>
      </c>
      <c r="D16" t="s">
        <v>17</v>
      </c>
      <c r="F16" t="s">
        <v>211</v>
      </c>
      <c r="G16" s="16" t="s">
        <v>34</v>
      </c>
      <c r="H16" t="s">
        <v>19</v>
      </c>
    </row>
    <row r="17" spans="1:8" x14ac:dyDescent="0.25">
      <c r="B17" t="s">
        <v>18</v>
      </c>
      <c r="C17" s="10">
        <f>0.018</f>
        <v>1.7999999999999999E-2</v>
      </c>
      <c r="D17" t="s">
        <v>7</v>
      </c>
      <c r="F17" t="s">
        <v>21</v>
      </c>
      <c r="G17" s="16" t="s">
        <v>34</v>
      </c>
      <c r="H17" t="s">
        <v>19</v>
      </c>
    </row>
    <row r="18" spans="1:8" x14ac:dyDescent="0.25">
      <c r="A18" s="2"/>
      <c r="B18" s="2"/>
      <c r="C18" s="14"/>
      <c r="D18" s="2"/>
      <c r="E18" s="2"/>
      <c r="F18" s="2"/>
      <c r="G18" s="2"/>
      <c r="H18" s="2"/>
    </row>
    <row r="19" spans="1:8" x14ac:dyDescent="0.25">
      <c r="A19" s="18" t="s">
        <v>0</v>
      </c>
      <c r="B19" s="17" t="s">
        <v>213</v>
      </c>
      <c r="C19" s="13"/>
      <c r="D19" s="3"/>
      <c r="E19" s="3"/>
      <c r="F19" s="3"/>
      <c r="G19" s="3"/>
      <c r="H19" s="3"/>
    </row>
    <row r="20" spans="1:8" x14ac:dyDescent="0.25">
      <c r="A20" s="3" t="s">
        <v>1</v>
      </c>
      <c r="B20" s="6" t="s">
        <v>203</v>
      </c>
      <c r="C20" s="13"/>
      <c r="D20" s="3"/>
      <c r="E20" s="3"/>
      <c r="F20" s="3"/>
      <c r="G20" s="3"/>
      <c r="H20" s="3"/>
    </row>
    <row r="21" spans="1:8" x14ac:dyDescent="0.25">
      <c r="A21" s="3" t="s">
        <v>2</v>
      </c>
      <c r="B21" t="s">
        <v>3</v>
      </c>
      <c r="C21" s="13"/>
      <c r="D21" s="3"/>
      <c r="E21" s="3"/>
      <c r="F21" s="3"/>
      <c r="G21" s="3"/>
      <c r="H21" s="3"/>
    </row>
    <row r="22" spans="1:8" x14ac:dyDescent="0.25">
      <c r="A22" s="3" t="s">
        <v>4</v>
      </c>
      <c r="B22" s="8">
        <v>1</v>
      </c>
      <c r="C22" s="13"/>
      <c r="D22" s="3"/>
      <c r="E22" s="3"/>
      <c r="F22" s="3"/>
      <c r="G22" s="3"/>
      <c r="H22" s="3"/>
    </row>
    <row r="23" spans="1:8" x14ac:dyDescent="0.25">
      <c r="A23" s="3" t="s">
        <v>5</v>
      </c>
      <c r="B23" t="s">
        <v>214</v>
      </c>
      <c r="C23" s="13"/>
      <c r="D23" s="3"/>
      <c r="E23" s="3"/>
      <c r="F23" s="3"/>
      <c r="G23" s="3"/>
      <c r="H23" s="3"/>
    </row>
    <row r="24" spans="1:8" x14ac:dyDescent="0.25">
      <c r="A24" s="3" t="s">
        <v>6</v>
      </c>
      <c r="B24" t="s">
        <v>7</v>
      </c>
      <c r="C24" s="13"/>
      <c r="D24" s="3"/>
      <c r="E24" s="3"/>
      <c r="F24" s="3"/>
      <c r="G24" s="3"/>
      <c r="H24" s="3"/>
    </row>
    <row r="25" spans="1:8" x14ac:dyDescent="0.25">
      <c r="A25" s="1" t="s">
        <v>8</v>
      </c>
      <c r="B25" s="3"/>
      <c r="C25" s="13"/>
      <c r="D25" s="3"/>
      <c r="E25" s="3"/>
      <c r="F25" s="3"/>
      <c r="G25" s="3"/>
      <c r="H25" s="3"/>
    </row>
    <row r="26" spans="1:8" x14ac:dyDescent="0.25">
      <c r="A26" s="7" t="s">
        <v>5</v>
      </c>
      <c r="B26" s="6" t="s">
        <v>9</v>
      </c>
      <c r="C26" s="9" t="s">
        <v>10</v>
      </c>
      <c r="D26" s="6" t="s">
        <v>6</v>
      </c>
      <c r="E26" s="6" t="s">
        <v>2</v>
      </c>
      <c r="F26" s="6" t="s">
        <v>12</v>
      </c>
      <c r="G26" s="6" t="s">
        <v>11</v>
      </c>
      <c r="H26" s="7" t="s">
        <v>13</v>
      </c>
    </row>
    <row r="27" spans="1:8" x14ac:dyDescent="0.25">
      <c r="A27" t="s">
        <v>214</v>
      </c>
      <c r="B27" t="s">
        <v>213</v>
      </c>
      <c r="C27" s="10">
        <v>1</v>
      </c>
      <c r="D27" t="s">
        <v>7</v>
      </c>
      <c r="E27" t="s">
        <v>3</v>
      </c>
      <c r="G27" s="16" t="s">
        <v>38</v>
      </c>
      <c r="H27" t="s">
        <v>14</v>
      </c>
    </row>
    <row r="28" spans="1:8" x14ac:dyDescent="0.25">
      <c r="A28" t="s">
        <v>209</v>
      </c>
      <c r="B28" t="s">
        <v>209</v>
      </c>
      <c r="C28" s="10">
        <v>2.15</v>
      </c>
      <c r="D28" t="s">
        <v>23</v>
      </c>
      <c r="E28" t="s">
        <v>3</v>
      </c>
      <c r="G28" s="16" t="s">
        <v>38</v>
      </c>
      <c r="H28" t="s">
        <v>16</v>
      </c>
    </row>
    <row r="29" spans="1:8" x14ac:dyDescent="0.25">
      <c r="A29" t="s">
        <v>216</v>
      </c>
      <c r="B29" t="s">
        <v>215</v>
      </c>
      <c r="C29" s="10">
        <v>0.45300000000000001</v>
      </c>
      <c r="D29" t="s">
        <v>7</v>
      </c>
      <c r="E29" t="s">
        <v>3</v>
      </c>
      <c r="G29" s="16" t="s">
        <v>38</v>
      </c>
      <c r="H29" t="s">
        <v>16</v>
      </c>
    </row>
    <row r="30" spans="1:8" x14ac:dyDescent="0.25">
      <c r="A30" t="s">
        <v>208</v>
      </c>
      <c r="B30" t="s">
        <v>207</v>
      </c>
      <c r="C30" s="10">
        <v>0.57099999999999995</v>
      </c>
      <c r="D30" t="s">
        <v>7</v>
      </c>
      <c r="E30" t="s">
        <v>15</v>
      </c>
      <c r="G30" s="16" t="s">
        <v>39</v>
      </c>
      <c r="H30" t="s">
        <v>16</v>
      </c>
    </row>
    <row r="31" spans="1:8" x14ac:dyDescent="0.25">
      <c r="A31" t="s">
        <v>27</v>
      </c>
      <c r="B31" t="s">
        <v>35</v>
      </c>
      <c r="C31" s="11">
        <v>196.84700000000001</v>
      </c>
      <c r="D31" t="s">
        <v>7</v>
      </c>
      <c r="E31" t="s">
        <v>15</v>
      </c>
      <c r="G31" s="16" t="s">
        <v>39</v>
      </c>
      <c r="H31" t="s">
        <v>16</v>
      </c>
    </row>
    <row r="32" spans="1:8" x14ac:dyDescent="0.25">
      <c r="A32" s="3" t="s">
        <v>138</v>
      </c>
      <c r="B32" t="s">
        <v>162</v>
      </c>
      <c r="C32" s="10">
        <v>2.38</v>
      </c>
      <c r="D32" s="3" t="s">
        <v>23</v>
      </c>
      <c r="E32" s="3" t="s">
        <v>15</v>
      </c>
      <c r="G32" s="16" t="s">
        <v>39</v>
      </c>
      <c r="H32" t="s">
        <v>16</v>
      </c>
    </row>
    <row r="33" spans="1:8" x14ac:dyDescent="0.25">
      <c r="A33" t="s">
        <v>24</v>
      </c>
      <c r="B33" t="s">
        <v>25</v>
      </c>
      <c r="C33" s="11">
        <v>2.4E-2</v>
      </c>
      <c r="D33" t="s">
        <v>26</v>
      </c>
      <c r="E33" t="s">
        <v>3</v>
      </c>
      <c r="G33" s="16" t="s">
        <v>39</v>
      </c>
      <c r="H33" t="s">
        <v>16</v>
      </c>
    </row>
    <row r="34" spans="1:8" x14ac:dyDescent="0.25">
      <c r="B34" t="s">
        <v>210</v>
      </c>
      <c r="C34" s="10">
        <f>0.004</f>
        <v>4.0000000000000001E-3</v>
      </c>
      <c r="D34" t="s">
        <v>17</v>
      </c>
      <c r="F34" t="s">
        <v>211</v>
      </c>
      <c r="G34" s="16" t="s">
        <v>34</v>
      </c>
      <c r="H34" t="s">
        <v>19</v>
      </c>
    </row>
    <row r="35" spans="1:8" x14ac:dyDescent="0.25">
      <c r="B35" t="s">
        <v>18</v>
      </c>
      <c r="C35" s="10">
        <f>0.018</f>
        <v>1.7999999999999999E-2</v>
      </c>
      <c r="D35" t="s">
        <v>7</v>
      </c>
      <c r="F35" t="s">
        <v>21</v>
      </c>
      <c r="G35" s="16" t="s">
        <v>34</v>
      </c>
      <c r="H35" t="s">
        <v>19</v>
      </c>
    </row>
    <row r="36" spans="1:8" x14ac:dyDescent="0.25">
      <c r="A36" s="2"/>
      <c r="B36" s="2"/>
      <c r="C36" s="14"/>
      <c r="D36" s="2"/>
      <c r="E36" s="2"/>
      <c r="F36" s="2"/>
      <c r="G36" s="2"/>
      <c r="H36" s="2"/>
    </row>
    <row r="37" spans="1:8" x14ac:dyDescent="0.25">
      <c r="A37" s="18" t="s">
        <v>0</v>
      </c>
      <c r="B37" s="17" t="s">
        <v>209</v>
      </c>
      <c r="C37" s="13"/>
      <c r="D37" s="3"/>
      <c r="E37" s="3"/>
      <c r="F37" s="3"/>
      <c r="G37" s="3"/>
      <c r="H37" s="3"/>
    </row>
    <row r="38" spans="1:8" x14ac:dyDescent="0.25">
      <c r="A38" s="3" t="s">
        <v>1</v>
      </c>
      <c r="B38" s="6" t="s">
        <v>203</v>
      </c>
      <c r="C38" s="13"/>
      <c r="D38" s="3"/>
      <c r="E38" s="3"/>
      <c r="F38" s="3"/>
      <c r="G38" s="3"/>
      <c r="H38" s="3"/>
    </row>
    <row r="39" spans="1:8" x14ac:dyDescent="0.25">
      <c r="A39" s="3" t="s">
        <v>2</v>
      </c>
      <c r="B39" t="s">
        <v>3</v>
      </c>
      <c r="C39" s="13"/>
      <c r="D39" s="3"/>
      <c r="E39" s="3"/>
      <c r="F39" s="3"/>
      <c r="G39" s="3"/>
      <c r="H39" s="3"/>
    </row>
    <row r="40" spans="1:8" x14ac:dyDescent="0.25">
      <c r="A40" s="3" t="s">
        <v>4</v>
      </c>
      <c r="B40" s="8">
        <v>1</v>
      </c>
      <c r="C40" s="13"/>
      <c r="D40" s="3"/>
      <c r="E40" s="3"/>
      <c r="F40" s="3"/>
      <c r="G40" s="3"/>
      <c r="H40" s="3"/>
    </row>
    <row r="41" spans="1:8" x14ac:dyDescent="0.25">
      <c r="A41" s="3" t="s">
        <v>5</v>
      </c>
      <c r="B41" t="s">
        <v>209</v>
      </c>
      <c r="C41" s="13"/>
      <c r="D41" s="3"/>
      <c r="E41" s="3"/>
      <c r="F41" s="3"/>
      <c r="G41" s="3"/>
      <c r="H41" s="3"/>
    </row>
    <row r="42" spans="1:8" x14ac:dyDescent="0.25">
      <c r="A42" s="3" t="s">
        <v>6</v>
      </c>
      <c r="B42" t="s">
        <v>23</v>
      </c>
      <c r="C42" s="13"/>
      <c r="D42" s="3"/>
      <c r="E42" s="3"/>
      <c r="F42" s="3"/>
      <c r="G42" s="3"/>
      <c r="H42" s="3"/>
    </row>
    <row r="43" spans="1:8" x14ac:dyDescent="0.25">
      <c r="A43" s="1" t="s">
        <v>8</v>
      </c>
      <c r="B43" s="3"/>
      <c r="C43" s="13"/>
      <c r="D43" s="3"/>
      <c r="E43" s="3"/>
      <c r="F43" s="3"/>
      <c r="G43" s="3"/>
      <c r="H43" s="3"/>
    </row>
    <row r="44" spans="1:8" x14ac:dyDescent="0.25">
      <c r="A44" s="7" t="s">
        <v>5</v>
      </c>
      <c r="B44" s="6" t="s">
        <v>9</v>
      </c>
      <c r="C44" s="9" t="s">
        <v>10</v>
      </c>
      <c r="D44" s="6" t="s">
        <v>6</v>
      </c>
      <c r="E44" s="6" t="s">
        <v>2</v>
      </c>
      <c r="F44" s="6" t="s">
        <v>12</v>
      </c>
      <c r="G44" s="6" t="s">
        <v>11</v>
      </c>
      <c r="H44" s="7" t="s">
        <v>13</v>
      </c>
    </row>
    <row r="45" spans="1:8" x14ac:dyDescent="0.25">
      <c r="A45" t="s">
        <v>209</v>
      </c>
      <c r="B45" t="s">
        <v>209</v>
      </c>
      <c r="C45" s="10">
        <v>1</v>
      </c>
      <c r="D45" t="s">
        <v>23</v>
      </c>
      <c r="E45" t="s">
        <v>3</v>
      </c>
      <c r="G45" s="16" t="s">
        <v>38</v>
      </c>
      <c r="H45" t="s">
        <v>14</v>
      </c>
    </row>
    <row r="46" spans="1:8" x14ac:dyDescent="0.25">
      <c r="A46" t="s">
        <v>132</v>
      </c>
      <c r="B46" t="s">
        <v>212</v>
      </c>
      <c r="C46" s="10">
        <f>1.83*0.611</f>
        <v>1.1181300000000001</v>
      </c>
      <c r="D46" t="s">
        <v>7</v>
      </c>
      <c r="E46" t="s">
        <v>15</v>
      </c>
      <c r="G46" s="16" t="s">
        <v>39</v>
      </c>
      <c r="H46" t="s">
        <v>16</v>
      </c>
    </row>
    <row r="47" spans="1:8" x14ac:dyDescent="0.25">
      <c r="A47" t="s">
        <v>24</v>
      </c>
      <c r="B47" t="s">
        <v>25</v>
      </c>
      <c r="C47" s="11">
        <f>1.83*0.00166+0.23</f>
        <v>0.23303780000000002</v>
      </c>
      <c r="D47" t="s">
        <v>26</v>
      </c>
      <c r="E47" t="s">
        <v>3</v>
      </c>
      <c r="G47" s="16" t="s">
        <v>39</v>
      </c>
      <c r="H47" t="s">
        <v>16</v>
      </c>
    </row>
    <row r="48" spans="1:8" x14ac:dyDescent="0.25">
      <c r="B48" t="s">
        <v>210</v>
      </c>
      <c r="C48" s="10">
        <f>1.83*0.000408</f>
        <v>7.4664000000000002E-4</v>
      </c>
      <c r="D48" t="s">
        <v>17</v>
      </c>
      <c r="F48" t="s">
        <v>21</v>
      </c>
      <c r="G48" s="16" t="s">
        <v>34</v>
      </c>
      <c r="H48" t="s">
        <v>19</v>
      </c>
    </row>
    <row r="49" spans="1:8" x14ac:dyDescent="0.25">
      <c r="B49" t="s">
        <v>210</v>
      </c>
      <c r="C49" s="23">
        <f>0.000204*1.83</f>
        <v>3.7332000000000001E-4</v>
      </c>
      <c r="D49" t="s">
        <v>17</v>
      </c>
      <c r="F49" t="s">
        <v>211</v>
      </c>
      <c r="G49" s="16" t="s">
        <v>34</v>
      </c>
      <c r="H49" t="s">
        <v>19</v>
      </c>
    </row>
    <row r="50" spans="1:8" x14ac:dyDescent="0.25">
      <c r="A50" s="2"/>
      <c r="B50" s="2"/>
      <c r="C50" s="14"/>
      <c r="D50" s="2"/>
      <c r="E50" s="2"/>
      <c r="F50" s="2"/>
      <c r="G50" s="2"/>
      <c r="H50" s="2"/>
    </row>
    <row r="51" spans="1:8" x14ac:dyDescent="0.25">
      <c r="A51" s="18" t="s">
        <v>0</v>
      </c>
      <c r="B51" s="17" t="s">
        <v>215</v>
      </c>
      <c r="C51" s="13"/>
      <c r="D51" s="3"/>
      <c r="E51" s="3"/>
      <c r="F51" s="3"/>
      <c r="G51" s="3"/>
      <c r="H51" s="3"/>
    </row>
    <row r="52" spans="1:8" x14ac:dyDescent="0.25">
      <c r="A52" s="3" t="s">
        <v>1</v>
      </c>
      <c r="B52" s="6" t="s">
        <v>203</v>
      </c>
      <c r="C52" s="13"/>
      <c r="D52" s="3"/>
      <c r="E52" s="3"/>
      <c r="F52" s="3"/>
      <c r="G52" s="3"/>
      <c r="H52" s="3"/>
    </row>
    <row r="53" spans="1:8" x14ac:dyDescent="0.25">
      <c r="A53" s="3" t="s">
        <v>2</v>
      </c>
      <c r="B53" t="s">
        <v>3</v>
      </c>
      <c r="C53" s="13"/>
      <c r="D53" s="3"/>
      <c r="E53" s="3"/>
      <c r="F53" s="3"/>
      <c r="G53" s="3"/>
      <c r="H53" s="3"/>
    </row>
    <row r="54" spans="1:8" x14ac:dyDescent="0.25">
      <c r="A54" s="3" t="s">
        <v>4</v>
      </c>
      <c r="B54" s="8">
        <v>1</v>
      </c>
      <c r="C54" s="13"/>
      <c r="D54" s="3"/>
      <c r="E54" s="3"/>
      <c r="F54" s="3"/>
      <c r="G54" s="3"/>
      <c r="H54" s="3"/>
    </row>
    <row r="55" spans="1:8" x14ac:dyDescent="0.25">
      <c r="A55" s="3" t="s">
        <v>5</v>
      </c>
      <c r="B55" t="s">
        <v>216</v>
      </c>
      <c r="C55" s="13"/>
      <c r="D55" s="3"/>
      <c r="E55" s="3"/>
      <c r="F55" s="3"/>
      <c r="G55" s="3"/>
      <c r="H55" s="3"/>
    </row>
    <row r="56" spans="1:8" x14ac:dyDescent="0.25">
      <c r="A56" s="3" t="s">
        <v>6</v>
      </c>
      <c r="B56" t="s">
        <v>7</v>
      </c>
      <c r="C56" s="13"/>
      <c r="D56" s="3"/>
      <c r="E56" s="3"/>
      <c r="F56" s="3"/>
      <c r="G56" s="3"/>
      <c r="H56" s="3"/>
    </row>
    <row r="57" spans="1:8" x14ac:dyDescent="0.25">
      <c r="A57" s="1" t="s">
        <v>8</v>
      </c>
      <c r="B57" s="3"/>
      <c r="C57" s="13"/>
      <c r="D57" s="3"/>
      <c r="E57" s="3"/>
      <c r="F57" s="3"/>
      <c r="G57" s="3"/>
      <c r="H57" s="3"/>
    </row>
    <row r="58" spans="1:8" x14ac:dyDescent="0.25">
      <c r="A58" s="7" t="s">
        <v>5</v>
      </c>
      <c r="B58" s="6" t="s">
        <v>9</v>
      </c>
      <c r="C58" s="9" t="s">
        <v>10</v>
      </c>
      <c r="D58" s="6" t="s">
        <v>6</v>
      </c>
      <c r="E58" s="6" t="s">
        <v>2</v>
      </c>
      <c r="F58" s="6" t="s">
        <v>12</v>
      </c>
      <c r="G58" s="6" t="s">
        <v>11</v>
      </c>
      <c r="H58" s="7" t="s">
        <v>13</v>
      </c>
    </row>
    <row r="59" spans="1:8" x14ac:dyDescent="0.25">
      <c r="A59" t="s">
        <v>216</v>
      </c>
      <c r="B59" t="s">
        <v>215</v>
      </c>
      <c r="C59" s="10">
        <v>1</v>
      </c>
      <c r="D59" t="s">
        <v>7</v>
      </c>
      <c r="E59" t="s">
        <v>3</v>
      </c>
      <c r="G59" s="16" t="s">
        <v>38</v>
      </c>
      <c r="H59" t="s">
        <v>14</v>
      </c>
    </row>
    <row r="60" spans="1:8" x14ac:dyDescent="0.25">
      <c r="B60" t="s">
        <v>18</v>
      </c>
      <c r="C60" s="10">
        <v>-1</v>
      </c>
      <c r="D60" t="s">
        <v>7</v>
      </c>
      <c r="F60" t="s">
        <v>21</v>
      </c>
      <c r="G60" s="16" t="s">
        <v>34</v>
      </c>
      <c r="H60" t="s">
        <v>19</v>
      </c>
    </row>
    <row r="61" spans="1:8" x14ac:dyDescent="0.25">
      <c r="C61" s="11"/>
      <c r="G61" s="16"/>
    </row>
    <row r="62" spans="1:8" x14ac:dyDescent="0.25">
      <c r="C62" s="10"/>
      <c r="G62" s="16"/>
    </row>
    <row r="63" spans="1:8" x14ac:dyDescent="0.25">
      <c r="C63" s="23"/>
      <c r="G63" s="16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9C877-B78E-4C10-B1A4-8EFA0F87A1E3}">
  <dimension ref="A1:H41"/>
  <sheetViews>
    <sheetView tabSelected="1" workbookViewId="0">
      <selection activeCell="E10" sqref="E10"/>
    </sheetView>
  </sheetViews>
  <sheetFormatPr defaultRowHeight="15" x14ac:dyDescent="0.25"/>
  <cols>
    <col min="1" max="1" width="50.140625" bestFit="1" customWidth="1"/>
    <col min="2" max="2" width="64.42578125" bestFit="1" customWidth="1"/>
    <col min="3" max="3" width="7.85546875" bestFit="1" customWidth="1"/>
    <col min="4" max="4" width="12.85546875" bestFit="1" customWidth="1"/>
    <col min="5" max="5" width="8.140625" bestFit="1" customWidth="1"/>
    <col min="6" max="6" width="10.140625" bestFit="1" customWidth="1"/>
    <col min="7" max="7" width="30.42578125" bestFit="1" customWidth="1"/>
    <col min="8" max="8" width="13.42578125" bestFit="1" customWidth="1"/>
  </cols>
  <sheetData>
    <row r="1" spans="1:8" x14ac:dyDescent="0.25">
      <c r="A1" s="18" t="s">
        <v>0</v>
      </c>
      <c r="B1" s="17" t="s">
        <v>218</v>
      </c>
      <c r="C1" s="13"/>
      <c r="D1" s="3"/>
      <c r="E1" s="3"/>
      <c r="F1" s="3"/>
      <c r="G1" s="3"/>
      <c r="H1" s="3"/>
    </row>
    <row r="2" spans="1:8" x14ac:dyDescent="0.25">
      <c r="A2" s="3" t="s">
        <v>1</v>
      </c>
      <c r="B2" s="6" t="s">
        <v>203</v>
      </c>
      <c r="C2" s="13"/>
      <c r="D2" s="3"/>
      <c r="E2" s="3"/>
      <c r="F2" s="3"/>
      <c r="G2" s="3"/>
      <c r="H2" s="3"/>
    </row>
    <row r="3" spans="1:8" x14ac:dyDescent="0.25">
      <c r="A3" s="3" t="s">
        <v>2</v>
      </c>
      <c r="B3" t="s">
        <v>3</v>
      </c>
      <c r="C3" s="13"/>
      <c r="D3" s="3"/>
      <c r="E3" s="3"/>
      <c r="F3" s="3"/>
      <c r="G3" s="3"/>
      <c r="H3" s="3"/>
    </row>
    <row r="4" spans="1:8" x14ac:dyDescent="0.25">
      <c r="A4" s="3" t="s">
        <v>4</v>
      </c>
      <c r="B4" s="8">
        <v>1</v>
      </c>
      <c r="C4" s="13"/>
      <c r="D4" s="3"/>
      <c r="E4" s="3"/>
      <c r="F4" s="3"/>
      <c r="G4" s="3"/>
      <c r="H4" s="3"/>
    </row>
    <row r="5" spans="1:8" x14ac:dyDescent="0.25">
      <c r="A5" s="3" t="s">
        <v>5</v>
      </c>
      <c r="B5" t="s">
        <v>220</v>
      </c>
      <c r="C5" s="13"/>
      <c r="D5" s="3"/>
      <c r="E5" s="3"/>
      <c r="F5" s="3"/>
      <c r="G5" s="3"/>
      <c r="H5" s="3"/>
    </row>
    <row r="6" spans="1:8" x14ac:dyDescent="0.25">
      <c r="A6" s="3" t="s">
        <v>6</v>
      </c>
      <c r="B6" t="s">
        <v>7</v>
      </c>
      <c r="C6" s="13"/>
      <c r="D6" s="3"/>
      <c r="E6" s="3"/>
      <c r="F6" s="3"/>
      <c r="G6" s="3"/>
      <c r="H6" s="3"/>
    </row>
    <row r="7" spans="1:8" x14ac:dyDescent="0.25">
      <c r="A7" s="1" t="s">
        <v>8</v>
      </c>
      <c r="B7" s="3"/>
      <c r="C7" s="13"/>
      <c r="D7" s="3"/>
      <c r="E7" s="3"/>
      <c r="F7" s="3"/>
      <c r="G7" s="3"/>
      <c r="H7" s="3"/>
    </row>
    <row r="8" spans="1:8" x14ac:dyDescent="0.25">
      <c r="A8" s="7" t="s">
        <v>5</v>
      </c>
      <c r="B8" s="6" t="s">
        <v>9</v>
      </c>
      <c r="C8" s="9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</row>
    <row r="9" spans="1:8" x14ac:dyDescent="0.25">
      <c r="A9" t="s">
        <v>220</v>
      </c>
      <c r="B9" t="s">
        <v>218</v>
      </c>
      <c r="C9" s="10">
        <v>1</v>
      </c>
      <c r="D9" t="s">
        <v>7</v>
      </c>
      <c r="E9" t="s">
        <v>3</v>
      </c>
      <c r="G9" s="16" t="s">
        <v>38</v>
      </c>
      <c r="H9" t="s">
        <v>14</v>
      </c>
    </row>
    <row r="10" spans="1:8" x14ac:dyDescent="0.25">
      <c r="A10" t="s">
        <v>217</v>
      </c>
      <c r="B10" t="s">
        <v>217</v>
      </c>
      <c r="C10" s="10">
        <v>0.39100000000000001</v>
      </c>
      <c r="D10" t="s">
        <v>23</v>
      </c>
      <c r="E10" t="s">
        <v>3</v>
      </c>
      <c r="G10" s="16" t="s">
        <v>38</v>
      </c>
      <c r="H10" t="s">
        <v>16</v>
      </c>
    </row>
    <row r="11" spans="1:8" x14ac:dyDescent="0.25">
      <c r="A11" t="s">
        <v>66</v>
      </c>
      <c r="B11" t="s">
        <v>65</v>
      </c>
      <c r="C11" s="10">
        <v>0.41599999999999998</v>
      </c>
      <c r="D11" t="s">
        <v>7</v>
      </c>
      <c r="E11" t="s">
        <v>3</v>
      </c>
      <c r="G11" s="16" t="s">
        <v>38</v>
      </c>
      <c r="H11" t="s">
        <v>16</v>
      </c>
    </row>
    <row r="12" spans="1:8" x14ac:dyDescent="0.25">
      <c r="A12" t="s">
        <v>223</v>
      </c>
      <c r="B12" t="s">
        <v>222</v>
      </c>
      <c r="C12" s="10">
        <f>0.584*0.3</f>
        <v>0.17519999999999999</v>
      </c>
      <c r="D12" t="s">
        <v>7</v>
      </c>
      <c r="E12" t="s">
        <v>15</v>
      </c>
      <c r="G12" s="16" t="s">
        <v>39</v>
      </c>
      <c r="H12" t="s">
        <v>16</v>
      </c>
    </row>
    <row r="13" spans="1:8" x14ac:dyDescent="0.25">
      <c r="A13" s="3" t="s">
        <v>138</v>
      </c>
      <c r="B13" t="s">
        <v>162</v>
      </c>
      <c r="C13" s="10">
        <v>3.7999999999999999E-2</v>
      </c>
      <c r="D13" s="3" t="s">
        <v>23</v>
      </c>
      <c r="E13" s="3" t="s">
        <v>15</v>
      </c>
      <c r="G13" s="16" t="s">
        <v>39</v>
      </c>
      <c r="H13" t="s">
        <v>16</v>
      </c>
    </row>
    <row r="14" spans="1:8" x14ac:dyDescent="0.25">
      <c r="A14" t="s">
        <v>27</v>
      </c>
      <c r="B14" t="s">
        <v>35</v>
      </c>
      <c r="C14" s="11">
        <v>75.994263862332701</v>
      </c>
      <c r="D14" t="s">
        <v>7</v>
      </c>
      <c r="E14" t="s">
        <v>15</v>
      </c>
      <c r="G14" s="16" t="s">
        <v>39</v>
      </c>
      <c r="H14" t="s">
        <v>16</v>
      </c>
    </row>
    <row r="15" spans="1:8" x14ac:dyDescent="0.25">
      <c r="A15" s="2"/>
      <c r="B15" s="2"/>
      <c r="C15" s="14"/>
      <c r="D15" s="2"/>
      <c r="E15" s="2"/>
      <c r="F15" s="2"/>
      <c r="G15" s="2"/>
      <c r="H15" s="2"/>
    </row>
    <row r="16" spans="1:8" x14ac:dyDescent="0.25">
      <c r="A16" s="18" t="s">
        <v>0</v>
      </c>
      <c r="B16" s="17" t="s">
        <v>219</v>
      </c>
      <c r="C16" s="13"/>
      <c r="D16" s="3"/>
      <c r="E16" s="3"/>
      <c r="F16" s="3"/>
      <c r="G16" s="3"/>
      <c r="H16" s="3"/>
    </row>
    <row r="17" spans="1:8" x14ac:dyDescent="0.25">
      <c r="A17" s="3" t="s">
        <v>1</v>
      </c>
      <c r="B17" s="6" t="s">
        <v>203</v>
      </c>
      <c r="C17" s="13"/>
      <c r="D17" s="3"/>
      <c r="E17" s="3"/>
      <c r="F17" s="3"/>
      <c r="G17" s="3"/>
      <c r="H17" s="3"/>
    </row>
    <row r="18" spans="1:8" x14ac:dyDescent="0.25">
      <c r="A18" s="3" t="s">
        <v>2</v>
      </c>
      <c r="B18" t="s">
        <v>3</v>
      </c>
      <c r="C18" s="13"/>
      <c r="D18" s="3"/>
      <c r="E18" s="3"/>
      <c r="F18" s="3"/>
      <c r="G18" s="3"/>
      <c r="H18" s="3"/>
    </row>
    <row r="19" spans="1:8" x14ac:dyDescent="0.25">
      <c r="A19" s="3" t="s">
        <v>4</v>
      </c>
      <c r="B19" s="8">
        <v>1</v>
      </c>
      <c r="C19" s="13"/>
      <c r="D19" s="3"/>
      <c r="E19" s="3"/>
      <c r="F19" s="3"/>
      <c r="G19" s="3"/>
      <c r="H19" s="3"/>
    </row>
    <row r="20" spans="1:8" x14ac:dyDescent="0.25">
      <c r="A20" s="3" t="s">
        <v>5</v>
      </c>
      <c r="B20" t="s">
        <v>221</v>
      </c>
      <c r="C20" s="13"/>
      <c r="D20" s="3"/>
      <c r="E20" s="3"/>
      <c r="F20" s="3"/>
      <c r="G20" s="3"/>
      <c r="H20" s="3"/>
    </row>
    <row r="21" spans="1:8" x14ac:dyDescent="0.25">
      <c r="A21" s="3" t="s">
        <v>6</v>
      </c>
      <c r="B21" t="s">
        <v>7</v>
      </c>
      <c r="C21" s="13"/>
      <c r="D21" s="3"/>
      <c r="E21" s="3"/>
      <c r="F21" s="3"/>
      <c r="G21" s="3"/>
      <c r="H21" s="3"/>
    </row>
    <row r="22" spans="1:8" x14ac:dyDescent="0.25">
      <c r="A22" s="1" t="s">
        <v>8</v>
      </c>
      <c r="B22" s="3"/>
      <c r="C22" s="13"/>
      <c r="D22" s="3"/>
      <c r="E22" s="3"/>
      <c r="F22" s="3"/>
      <c r="G22" s="3"/>
      <c r="H22" s="3"/>
    </row>
    <row r="23" spans="1:8" x14ac:dyDescent="0.25">
      <c r="A23" s="7" t="s">
        <v>5</v>
      </c>
      <c r="B23" s="6" t="s">
        <v>9</v>
      </c>
      <c r="C23" s="9" t="s">
        <v>10</v>
      </c>
      <c r="D23" s="6" t="s">
        <v>6</v>
      </c>
      <c r="E23" s="6" t="s">
        <v>2</v>
      </c>
      <c r="F23" s="6" t="s">
        <v>12</v>
      </c>
      <c r="G23" s="6" t="s">
        <v>11</v>
      </c>
      <c r="H23" s="7" t="s">
        <v>13</v>
      </c>
    </row>
    <row r="24" spans="1:8" x14ac:dyDescent="0.25">
      <c r="A24" t="s">
        <v>221</v>
      </c>
      <c r="B24" t="s">
        <v>219</v>
      </c>
      <c r="C24" s="10">
        <v>1</v>
      </c>
      <c r="D24" t="s">
        <v>7</v>
      </c>
      <c r="E24" t="s">
        <v>3</v>
      </c>
      <c r="G24" s="16" t="s">
        <v>38</v>
      </c>
      <c r="H24" t="s">
        <v>14</v>
      </c>
    </row>
    <row r="25" spans="1:8" x14ac:dyDescent="0.25">
      <c r="A25" t="s">
        <v>217</v>
      </c>
      <c r="B25" t="s">
        <v>217</v>
      </c>
      <c r="C25" s="10">
        <v>0.39100000000000001</v>
      </c>
      <c r="D25" t="s">
        <v>23</v>
      </c>
      <c r="E25" t="s">
        <v>3</v>
      </c>
      <c r="G25" s="16" t="s">
        <v>38</v>
      </c>
      <c r="H25" t="s">
        <v>16</v>
      </c>
    </row>
    <row r="26" spans="1:8" x14ac:dyDescent="0.25">
      <c r="A26" t="s">
        <v>68</v>
      </c>
      <c r="B26" t="s">
        <v>67</v>
      </c>
      <c r="C26" s="10">
        <v>0.41599999999999998</v>
      </c>
      <c r="D26" t="s">
        <v>7</v>
      </c>
      <c r="E26" t="s">
        <v>3</v>
      </c>
      <c r="G26" s="16" t="s">
        <v>38</v>
      </c>
      <c r="H26" t="s">
        <v>16</v>
      </c>
    </row>
    <row r="27" spans="1:8" x14ac:dyDescent="0.25">
      <c r="A27" t="s">
        <v>223</v>
      </c>
      <c r="B27" t="s">
        <v>222</v>
      </c>
      <c r="C27" s="10">
        <f>0.584*0.3</f>
        <v>0.17519999999999999</v>
      </c>
      <c r="D27" t="s">
        <v>7</v>
      </c>
      <c r="E27" t="s">
        <v>15</v>
      </c>
      <c r="G27" s="16" t="s">
        <v>39</v>
      </c>
      <c r="H27" t="s">
        <v>16</v>
      </c>
    </row>
    <row r="28" spans="1:8" x14ac:dyDescent="0.25">
      <c r="A28" s="3" t="s">
        <v>138</v>
      </c>
      <c r="B28" t="s">
        <v>162</v>
      </c>
      <c r="C28" s="10">
        <v>3.7999999999999999E-2</v>
      </c>
      <c r="D28" s="3" t="s">
        <v>23</v>
      </c>
      <c r="E28" s="3" t="s">
        <v>15</v>
      </c>
      <c r="G28" s="16" t="s">
        <v>39</v>
      </c>
      <c r="H28" t="s">
        <v>16</v>
      </c>
    </row>
    <row r="29" spans="1:8" x14ac:dyDescent="0.25">
      <c r="A29" t="s">
        <v>27</v>
      </c>
      <c r="B29" t="s">
        <v>35</v>
      </c>
      <c r="C29" s="11">
        <v>75.994263862332701</v>
      </c>
      <c r="D29" t="s">
        <v>7</v>
      </c>
      <c r="E29" t="s">
        <v>15</v>
      </c>
      <c r="G29" s="16" t="s">
        <v>39</v>
      </c>
      <c r="H29" t="s">
        <v>16</v>
      </c>
    </row>
    <row r="30" spans="1:8" x14ac:dyDescent="0.25">
      <c r="A30" s="2"/>
      <c r="B30" s="2"/>
      <c r="C30" s="14"/>
      <c r="D30" s="2"/>
      <c r="E30" s="2"/>
      <c r="F30" s="2"/>
      <c r="G30" s="2"/>
      <c r="H30" s="2"/>
    </row>
    <row r="31" spans="1:8" x14ac:dyDescent="0.25">
      <c r="A31" s="18" t="s">
        <v>0</v>
      </c>
      <c r="B31" s="17" t="s">
        <v>217</v>
      </c>
      <c r="C31" s="13"/>
      <c r="D31" s="3"/>
      <c r="E31" s="3"/>
      <c r="F31" s="3"/>
      <c r="G31" s="3"/>
      <c r="H31" s="3"/>
    </row>
    <row r="32" spans="1:8" x14ac:dyDescent="0.25">
      <c r="A32" s="3" t="s">
        <v>1</v>
      </c>
      <c r="B32" s="6" t="s">
        <v>203</v>
      </c>
      <c r="C32" s="13"/>
      <c r="D32" s="3"/>
      <c r="E32" s="3"/>
      <c r="F32" s="3"/>
      <c r="G32" s="3"/>
      <c r="H32" s="3"/>
    </row>
    <row r="33" spans="1:8" x14ac:dyDescent="0.25">
      <c r="A33" s="3" t="s">
        <v>2</v>
      </c>
      <c r="B33" t="s">
        <v>3</v>
      </c>
      <c r="C33" s="13"/>
      <c r="D33" s="3"/>
      <c r="E33" s="3"/>
      <c r="F33" s="3"/>
      <c r="G33" s="3"/>
      <c r="H33" s="3"/>
    </row>
    <row r="34" spans="1:8" x14ac:dyDescent="0.25">
      <c r="A34" s="3" t="s">
        <v>4</v>
      </c>
      <c r="B34" s="8">
        <v>1</v>
      </c>
      <c r="C34" s="13"/>
      <c r="D34" s="3"/>
      <c r="E34" s="3"/>
      <c r="F34" s="3"/>
      <c r="G34" s="3"/>
      <c r="H34" s="3"/>
    </row>
    <row r="35" spans="1:8" x14ac:dyDescent="0.25">
      <c r="A35" s="3" t="s">
        <v>5</v>
      </c>
      <c r="B35" t="s">
        <v>217</v>
      </c>
      <c r="C35" s="13"/>
      <c r="D35" s="3"/>
      <c r="E35" s="3"/>
      <c r="F35" s="3"/>
      <c r="G35" s="3"/>
      <c r="H35" s="3"/>
    </row>
    <row r="36" spans="1:8" x14ac:dyDescent="0.25">
      <c r="A36" s="3" t="s">
        <v>6</v>
      </c>
      <c r="B36" t="s">
        <v>23</v>
      </c>
      <c r="C36" s="13"/>
      <c r="D36" s="3"/>
      <c r="E36" s="3"/>
      <c r="F36" s="3"/>
      <c r="G36" s="3"/>
      <c r="H36" s="3"/>
    </row>
    <row r="37" spans="1:8" x14ac:dyDescent="0.25">
      <c r="A37" s="1" t="s">
        <v>8</v>
      </c>
      <c r="B37" s="3"/>
      <c r="C37" s="13"/>
      <c r="D37" s="3"/>
      <c r="E37" s="3"/>
      <c r="F37" s="3"/>
      <c r="G37" s="3"/>
      <c r="H37" s="3"/>
    </row>
    <row r="38" spans="1:8" x14ac:dyDescent="0.25">
      <c r="A38" s="7" t="s">
        <v>5</v>
      </c>
      <c r="B38" s="6" t="s">
        <v>9</v>
      </c>
      <c r="C38" s="9" t="s">
        <v>10</v>
      </c>
      <c r="D38" s="6" t="s">
        <v>6</v>
      </c>
      <c r="E38" s="6" t="s">
        <v>2</v>
      </c>
      <c r="F38" s="6" t="s">
        <v>12</v>
      </c>
      <c r="G38" s="6" t="s">
        <v>11</v>
      </c>
      <c r="H38" s="7" t="s">
        <v>13</v>
      </c>
    </row>
    <row r="39" spans="1:8" x14ac:dyDescent="0.25">
      <c r="A39" t="s">
        <v>217</v>
      </c>
      <c r="B39" t="s">
        <v>217</v>
      </c>
      <c r="C39" s="10">
        <v>1</v>
      </c>
      <c r="D39" t="s">
        <v>23</v>
      </c>
      <c r="E39" t="s">
        <v>3</v>
      </c>
      <c r="G39" s="16" t="s">
        <v>38</v>
      </c>
      <c r="H39" t="s">
        <v>14</v>
      </c>
    </row>
    <row r="40" spans="1:8" x14ac:dyDescent="0.25">
      <c r="A40" t="s">
        <v>24</v>
      </c>
      <c r="B40" t="s">
        <v>25</v>
      </c>
      <c r="C40" s="11">
        <v>0.19800000000000001</v>
      </c>
      <c r="D40" t="s">
        <v>26</v>
      </c>
      <c r="E40" t="s">
        <v>3</v>
      </c>
      <c r="G40" s="16" t="s">
        <v>39</v>
      </c>
      <c r="H40" t="s">
        <v>16</v>
      </c>
    </row>
    <row r="41" spans="1:8" x14ac:dyDescent="0.25">
      <c r="C41" s="23"/>
      <c r="G41" s="1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calcium_carbide</vt:lpstr>
      <vt:lpstr>partial_oxidation</vt:lpstr>
      <vt:lpstr>hot_plasma</vt:lpstr>
      <vt:lpstr>cold_plasma</vt:lpstr>
      <vt:lpstr>thernal_pyrolysis</vt:lpstr>
      <vt:lpstr>ethylene_vcm</vt:lpstr>
      <vt:lpstr>acetylene_vcm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2023-07-25T16:38:32Z</dcterms:created>
  <dcterms:modified xsi:type="dcterms:W3CDTF">2024-08-15T14:24:53Z</dcterms:modified>
</cp:coreProperties>
</file>