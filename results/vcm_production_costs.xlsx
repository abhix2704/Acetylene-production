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results\"/>
    </mc:Choice>
  </mc:AlternateContent>
  <xr:revisionPtr revIDLastSave="0" documentId="13_ncr:1_{281B44B3-07A3-4C1E-925C-7C8A7A073D3B}" xr6:coauthVersionLast="36" xr6:coauthVersionMax="47" xr10:uidLastSave="{00000000-0000-0000-0000-000000000000}"/>
  <bookViews>
    <workbookView xWindow="0" yWindow="495" windowWidth="21600" windowHeight="8430" activeTab="2" xr2:uid="{00000000-000D-0000-FFFF-FFFF00000000}"/>
  </bookViews>
  <sheets>
    <sheet name="overall" sheetId="13" r:id="rId1"/>
    <sheet name="mass_balance" sheetId="19" r:id="rId2"/>
    <sheet name="economics" sheetId="21" r:id="rId3"/>
    <sheet name="prices" sheetId="20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20" l="1"/>
  <c r="K5" i="20" l="1"/>
  <c r="K4" i="20"/>
  <c r="J5" i="20"/>
  <c r="J4" i="20"/>
  <c r="I5" i="20"/>
  <c r="I4" i="20"/>
  <c r="I3" i="20"/>
  <c r="H5" i="20"/>
  <c r="H4" i="20"/>
  <c r="G5" i="20"/>
  <c r="G4" i="20"/>
  <c r="F5" i="20"/>
  <c r="F4" i="20"/>
  <c r="E5" i="20"/>
  <c r="E4" i="20"/>
  <c r="E3" i="20"/>
  <c r="B5" i="20"/>
  <c r="B4" i="20"/>
  <c r="A3" i="20"/>
  <c r="P4" i="21" l="1"/>
  <c r="L2" i="13" s="1"/>
  <c r="P3" i="21"/>
  <c r="L3" i="13" s="1"/>
  <c r="O3" i="21"/>
  <c r="K3" i="13" s="1"/>
  <c r="O4" i="21"/>
  <c r="K2" i="13" s="1"/>
  <c r="C5" i="13" l="1"/>
  <c r="I5" i="13"/>
  <c r="I4" i="13"/>
  <c r="F4" i="13"/>
  <c r="D4" i="13"/>
  <c r="K3" i="20" l="1"/>
  <c r="M3" i="21" s="1"/>
  <c r="J3" i="20"/>
  <c r="L4" i="21" s="1"/>
  <c r="E7" i="21"/>
  <c r="E4" i="21"/>
  <c r="F4" i="21"/>
  <c r="I4" i="21"/>
  <c r="J4" i="21"/>
  <c r="E3" i="21"/>
  <c r="F3" i="21"/>
  <c r="I3" i="21"/>
  <c r="J3" i="21"/>
  <c r="B7" i="21"/>
  <c r="B6" i="21"/>
  <c r="F3" i="20"/>
  <c r="H3" i="21" s="1"/>
  <c r="G3" i="21"/>
  <c r="C4" i="21"/>
  <c r="B3" i="20"/>
  <c r="D3" i="21" s="1"/>
  <c r="K4" i="21"/>
  <c r="E3" i="13" l="1"/>
  <c r="E5" i="13" s="1"/>
  <c r="F3" i="13"/>
  <c r="F5" i="13" s="1"/>
  <c r="G3" i="13"/>
  <c r="G5" i="13" s="1"/>
  <c r="G2" i="13"/>
  <c r="G4" i="13" s="1"/>
  <c r="C2" i="13"/>
  <c r="K3" i="21"/>
  <c r="C3" i="21"/>
  <c r="C6" i="21"/>
  <c r="L3" i="21"/>
  <c r="D4" i="21"/>
  <c r="M4" i="21"/>
  <c r="H2" i="13" s="1"/>
  <c r="H4" i="13" s="1"/>
  <c r="G4" i="21"/>
  <c r="H4" i="21"/>
  <c r="N4" i="21" l="1"/>
  <c r="N3" i="21"/>
  <c r="E2" i="13"/>
  <c r="E4" i="13" s="1"/>
  <c r="D3" i="13"/>
  <c r="H3" i="13"/>
  <c r="H5" i="13" s="1"/>
  <c r="F7" i="19" l="1"/>
  <c r="F7" i="21" s="1"/>
  <c r="H7" i="19"/>
  <c r="H7" i="21" s="1"/>
  <c r="I7" i="19"/>
  <c r="I7" i="21" s="1"/>
  <c r="J7" i="19"/>
  <c r="J7" i="21" s="1"/>
  <c r="K7" i="19"/>
  <c r="K7" i="21" s="1"/>
  <c r="L7" i="19"/>
  <c r="L7" i="21" s="1"/>
  <c r="M7" i="19"/>
  <c r="M7" i="21" s="1"/>
  <c r="G7" i="19"/>
  <c r="G7" i="21" s="1"/>
  <c r="D7" i="19"/>
  <c r="D7" i="21" s="1"/>
  <c r="C7" i="19"/>
  <c r="L6" i="19"/>
  <c r="L6" i="21" s="1"/>
  <c r="K6" i="19"/>
  <c r="K6" i="21" s="1"/>
  <c r="J6" i="19"/>
  <c r="J6" i="21" s="1"/>
  <c r="I6" i="19"/>
  <c r="I6" i="21" s="1"/>
  <c r="H6" i="19"/>
  <c r="H6" i="21" s="1"/>
  <c r="F6" i="19"/>
  <c r="F6" i="21" s="1"/>
  <c r="E6" i="19"/>
  <c r="E6" i="21" s="1"/>
  <c r="M6" i="19"/>
  <c r="M6" i="21" s="1"/>
  <c r="G6" i="19"/>
  <c r="G6" i="21" s="1"/>
  <c r="D6" i="19"/>
  <c r="B7" i="19"/>
  <c r="B6" i="19"/>
  <c r="C7" i="21" l="1"/>
  <c r="N7" i="21" s="1"/>
  <c r="P7" i="21"/>
  <c r="L4" i="13" s="1"/>
  <c r="O7" i="21"/>
  <c r="K4" i="13" s="1"/>
  <c r="D6" i="21"/>
  <c r="N6" i="21" s="1"/>
  <c r="P6" i="21"/>
  <c r="L5" i="13" s="1"/>
  <c r="O6" i="21"/>
  <c r="K5" i="13" s="1"/>
  <c r="C4" i="13"/>
  <c r="A4" i="21"/>
  <c r="D5" i="13" l="1"/>
  <c r="A6" i="21"/>
  <c r="A7" i="21" s="1"/>
  <c r="A4" i="19" l="1"/>
  <c r="A6" i="19" l="1"/>
  <c r="A7" i="19" s="1"/>
  <c r="J2" i="13" l="1"/>
  <c r="J5" i="13" l="1"/>
  <c r="J4" i="13"/>
  <c r="J3" i="13"/>
  <c r="A3" i="13"/>
  <c r="A4" i="13" s="1"/>
  <c r="A5" i="13" s="1"/>
</calcChain>
</file>

<file path=xl/sharedStrings.xml><?xml version="1.0" encoding="utf-8"?>
<sst xmlns="http://schemas.openxmlformats.org/spreadsheetml/2006/main" count="92" uniqueCount="42">
  <si>
    <t>Electricity</t>
  </si>
  <si>
    <t>Total</t>
  </si>
  <si>
    <t>Scenario</t>
  </si>
  <si>
    <t>Direct emissions</t>
  </si>
  <si>
    <t>Cooling water [kg]</t>
  </si>
  <si>
    <t>Grid electricity [kWh]</t>
  </si>
  <si>
    <t>Fossil</t>
  </si>
  <si>
    <t>*all costs in USD</t>
  </si>
  <si>
    <t>Reference Data</t>
  </si>
  <si>
    <t>CEPCI 2017</t>
  </si>
  <si>
    <t>CEPCI 2018</t>
  </si>
  <si>
    <t>CEPCI 2019</t>
  </si>
  <si>
    <t>CEPCI 2022</t>
  </si>
  <si>
    <t>References</t>
  </si>
  <si>
    <t>https://doi.org/10.1002/cssc.202001312</t>
  </si>
  <si>
    <t>https://www.worldbank.org/en/research/commodity-markets</t>
  </si>
  <si>
    <t>Heating - natural gas [kg]</t>
  </si>
  <si>
    <t>CEPCI 2015</t>
  </si>
  <si>
    <t>Ethylene [kg]</t>
  </si>
  <si>
    <t>Acetylene [kg]</t>
  </si>
  <si>
    <t>HCl [kg]</t>
  </si>
  <si>
    <t>Chlorine [kg]</t>
  </si>
  <si>
    <t>Bioethylene [kg]</t>
  </si>
  <si>
    <t>Bioacetylene [kg]</t>
  </si>
  <si>
    <t>Green</t>
  </si>
  <si>
    <t>Refrigeration -25 °C [MJ]</t>
  </si>
  <si>
    <t>Refrigeration -50 °C [MJ]</t>
  </si>
  <si>
    <t>Ethylene</t>
  </si>
  <si>
    <t>Acetylene</t>
  </si>
  <si>
    <t>EBP</t>
  </si>
  <si>
    <t>ATV</t>
  </si>
  <si>
    <t>This work</t>
  </si>
  <si>
    <t>https://pubs.acs.org/doi/10.1021/acs.iecr.7b03731</t>
  </si>
  <si>
    <t>https://doi.org/10.26434/chemrxiv-2024-vlq7m-v2</t>
  </si>
  <si>
    <t>https://doi.org/10.1016/j.compchemeng.2017.03.013</t>
  </si>
  <si>
    <t>https://pubs.acs.org/doi/10.1021/acssuschemeng.3c03006</t>
  </si>
  <si>
    <t>Heating utilities</t>
  </si>
  <si>
    <t>Cooling utilities</t>
  </si>
  <si>
    <t>Chlorine or HCl</t>
  </si>
  <si>
    <t>Low</t>
  </si>
  <si>
    <t>High</t>
  </si>
  <si>
    <t>CEPCI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</si>
</sst>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164" fontId="0" fillId="0" borderId="1" xfId="0" applyNumberForma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2" fontId="0" fillId="0" borderId="1" xfId="0" applyNumberFormat="1" applyBorder="1"/>
    <xf numFmtId="0" fontId="0" fillId="0" borderId="1" xfId="0" applyBorder="1" applyAlignment="1">
      <alignment horizontal="left"/>
    </xf>
    <xf numFmtId="11" fontId="0" fillId="0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2" fontId="0" fillId="0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B65D-7EBA-4158-848E-48E37BA8AC0B}">
  <dimension ref="A1:L5"/>
  <sheetViews>
    <sheetView zoomScale="160" zoomScaleNormal="160" workbookViewId="0">
      <selection activeCell="D24" sqref="D24"/>
    </sheetView>
  </sheetViews>
  <sheetFormatPr defaultColWidth="8.85546875" defaultRowHeight="15" x14ac:dyDescent="0.25"/>
  <cols>
    <col min="1" max="1" width="3" bestFit="1" customWidth="1"/>
    <col min="2" max="2" width="19.42578125" bestFit="1" customWidth="1"/>
    <col min="3" max="3" width="10" bestFit="1" customWidth="1"/>
    <col min="4" max="4" width="8.85546875" bestFit="1" customWidth="1"/>
    <col min="5" max="5" width="14.42578125" bestFit="1" customWidth="1"/>
    <col min="6" max="6" width="9.7109375" bestFit="1" customWidth="1"/>
    <col min="7" max="7" width="15.28515625" bestFit="1" customWidth="1"/>
    <col min="8" max="8" width="15.140625" bestFit="1" customWidth="1"/>
    <col min="9" max="9" width="15.7109375" bestFit="1" customWidth="1"/>
    <col min="10" max="12" width="5.7109375" bestFit="1" customWidth="1"/>
  </cols>
  <sheetData>
    <row r="1" spans="1:12" x14ac:dyDescent="0.25">
      <c r="B1" s="2" t="s">
        <v>2</v>
      </c>
      <c r="C1" s="1" t="s">
        <v>28</v>
      </c>
      <c r="D1" s="1" t="s">
        <v>27</v>
      </c>
      <c r="E1" s="1" t="s">
        <v>38</v>
      </c>
      <c r="F1" s="1" t="s">
        <v>0</v>
      </c>
      <c r="G1" s="1" t="s">
        <v>36</v>
      </c>
      <c r="H1" s="1" t="s">
        <v>37</v>
      </c>
      <c r="I1" s="1" t="s">
        <v>3</v>
      </c>
      <c r="J1" s="1" t="s">
        <v>1</v>
      </c>
      <c r="K1" s="28" t="s">
        <v>39</v>
      </c>
      <c r="L1" s="28" t="s">
        <v>40</v>
      </c>
    </row>
    <row r="2" spans="1:12" x14ac:dyDescent="0.25">
      <c r="A2" s="3">
        <v>0</v>
      </c>
      <c r="B2" s="4" t="s">
        <v>30</v>
      </c>
      <c r="C2" s="5">
        <f>economics!E4</f>
        <v>0.49046400000000001</v>
      </c>
      <c r="D2" s="5">
        <v>0</v>
      </c>
      <c r="E2" s="5">
        <f>economics!H4</f>
        <v>8.9351999999999987E-2</v>
      </c>
      <c r="F2" s="5">
        <v>0</v>
      </c>
      <c r="G2" s="5">
        <f>economics!I4</f>
        <v>2.3198861616183442E-4</v>
      </c>
      <c r="H2" s="5">
        <f>economics!K4+economics!L4+economics!M4</f>
        <v>1.0915644848098576E-2</v>
      </c>
      <c r="I2" s="5">
        <v>0</v>
      </c>
      <c r="J2" s="5">
        <f>SUM(C2:I2)</f>
        <v>0.5909636334642604</v>
      </c>
      <c r="K2" s="25">
        <f>economics!O4</f>
        <v>0.45901665274618769</v>
      </c>
      <c r="L2" s="25">
        <f>economics!P4</f>
        <v>0.87642768561242979</v>
      </c>
    </row>
    <row r="3" spans="1:12" x14ac:dyDescent="0.25">
      <c r="A3" s="3">
        <f>A2+1</f>
        <v>1</v>
      </c>
      <c r="B3" s="4" t="s">
        <v>29</v>
      </c>
      <c r="C3" s="5">
        <v>0</v>
      </c>
      <c r="D3" s="5">
        <f>economics!C3</f>
        <v>0.80166867494129479</v>
      </c>
      <c r="E3" s="5">
        <f>economics!G3</f>
        <v>0.22194871519624282</v>
      </c>
      <c r="F3" s="5">
        <f>economics!J3</f>
        <v>2.2810927407407411E-3</v>
      </c>
      <c r="G3" s="5">
        <f>economics!I3</f>
        <v>1.4378461105863695E-2</v>
      </c>
      <c r="H3" s="5">
        <f>economics!K3+economics!L3+economics!M3</f>
        <v>0.1023986322681963</v>
      </c>
      <c r="I3" s="5">
        <v>0</v>
      </c>
      <c r="J3" s="5">
        <f>SUM(C3:I3)</f>
        <v>1.1426755762523384</v>
      </c>
      <c r="K3" s="25">
        <f>economics!O3</f>
        <v>0.92145283706167103</v>
      </c>
      <c r="L3" s="25">
        <f>economics!P3</f>
        <v>1.2062629892919252</v>
      </c>
    </row>
    <row r="4" spans="1:12" x14ac:dyDescent="0.25">
      <c r="A4" s="3">
        <f t="shared" ref="A4:A5" si="0">A3+1</f>
        <v>2</v>
      </c>
      <c r="B4" s="4" t="s">
        <v>30</v>
      </c>
      <c r="C4" s="5">
        <f>economics!F7</f>
        <v>0.64604799999999996</v>
      </c>
      <c r="D4" s="5">
        <f>D2</f>
        <v>0</v>
      </c>
      <c r="E4" s="5">
        <f t="shared" ref="E4:I4" si="1">E2</f>
        <v>8.9351999999999987E-2</v>
      </c>
      <c r="F4" s="5">
        <f t="shared" si="1"/>
        <v>0</v>
      </c>
      <c r="G4" s="5">
        <f t="shared" si="1"/>
        <v>2.3198861616183442E-4</v>
      </c>
      <c r="H4" s="5">
        <f t="shared" si="1"/>
        <v>1.0915644848098576E-2</v>
      </c>
      <c r="I4" s="5">
        <f t="shared" si="1"/>
        <v>0</v>
      </c>
      <c r="J4" s="5">
        <f>SUM(C4:I4)</f>
        <v>0.74654763346426034</v>
      </c>
      <c r="K4" s="5">
        <f>economics!O7</f>
        <v>0.50103265274618769</v>
      </c>
      <c r="L4" s="5">
        <f>economics!P7</f>
        <v>1.1326836856124296</v>
      </c>
    </row>
    <row r="5" spans="1:12" x14ac:dyDescent="0.25">
      <c r="A5" s="3">
        <f t="shared" si="0"/>
        <v>3</v>
      </c>
      <c r="B5" s="4" t="s">
        <v>29</v>
      </c>
      <c r="C5" s="5">
        <f>C3</f>
        <v>0</v>
      </c>
      <c r="D5" s="5">
        <f>economics!D6</f>
        <v>1.9866768000000001</v>
      </c>
      <c r="E5" s="5">
        <f>E3</f>
        <v>0.22194871519624282</v>
      </c>
      <c r="F5" s="5">
        <f>F3</f>
        <v>2.2810927407407411E-3</v>
      </c>
      <c r="G5" s="5">
        <f>G3</f>
        <v>1.4378461105863695E-2</v>
      </c>
      <c r="H5" s="5">
        <f>H3</f>
        <v>0.1023986322681963</v>
      </c>
      <c r="I5" s="5">
        <f>I3</f>
        <v>0</v>
      </c>
      <c r="J5" s="5">
        <f>SUM(C5:I5)</f>
        <v>2.3276837013110439</v>
      </c>
      <c r="K5" s="5">
        <f>economics!O6</f>
        <v>2.3224006370616719</v>
      </c>
      <c r="L5" s="5">
        <f>economics!P6</f>
        <v>2.334543841016063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84B6-81DC-4714-A895-9C249AE53CD9}">
  <dimension ref="A1:M7"/>
  <sheetViews>
    <sheetView zoomScaleNormal="100" workbookViewId="0">
      <selection activeCell="C1" sqref="C1:M1"/>
    </sheetView>
  </sheetViews>
  <sheetFormatPr defaultRowHeight="15" x14ac:dyDescent="0.25"/>
  <cols>
    <col min="1" max="1" width="3" bestFit="1" customWidth="1"/>
    <col min="2" max="2" width="16.7109375" bestFit="1" customWidth="1"/>
    <col min="3" max="3" width="12.7109375" bestFit="1" customWidth="1"/>
    <col min="4" max="4" width="15.85546875" bestFit="1" customWidth="1"/>
    <col min="5" max="5" width="14" bestFit="1" customWidth="1"/>
    <col min="6" max="6" width="16.5703125" bestFit="1" customWidth="1"/>
    <col min="7" max="7" width="16.42578125" bestFit="1" customWidth="1"/>
    <col min="8" max="8" width="19.28515625" bestFit="1" customWidth="1"/>
    <col min="9" max="9" width="23.85546875" bestFit="1" customWidth="1"/>
    <col min="10" max="10" width="20.42578125" bestFit="1" customWidth="1"/>
    <col min="11" max="11" width="17.42578125" bestFit="1" customWidth="1"/>
    <col min="12" max="13" width="23" bestFit="1" customWidth="1"/>
  </cols>
  <sheetData>
    <row r="1" spans="1:13" x14ac:dyDescent="0.25">
      <c r="A1" s="2"/>
      <c r="B1" s="6" t="s">
        <v>2</v>
      </c>
      <c r="C1" s="15" t="s">
        <v>18</v>
      </c>
      <c r="D1" s="15" t="s">
        <v>22</v>
      </c>
      <c r="E1" s="15" t="s">
        <v>19</v>
      </c>
      <c r="F1" s="15" t="s">
        <v>23</v>
      </c>
      <c r="G1" s="15" t="s">
        <v>21</v>
      </c>
      <c r="H1" s="15" t="s">
        <v>20</v>
      </c>
      <c r="I1" s="15" t="s">
        <v>16</v>
      </c>
      <c r="J1" s="15" t="s">
        <v>5</v>
      </c>
      <c r="K1" s="7" t="s">
        <v>4</v>
      </c>
      <c r="L1" s="12" t="s">
        <v>25</v>
      </c>
      <c r="M1" s="12" t="s">
        <v>26</v>
      </c>
    </row>
    <row r="2" spans="1:13" x14ac:dyDescent="0.25">
      <c r="A2" s="18" t="s">
        <v>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x14ac:dyDescent="0.25">
      <c r="A3" s="3">
        <v>0</v>
      </c>
      <c r="B3" s="4" t="s">
        <v>29</v>
      </c>
      <c r="C3" s="14">
        <v>0.45300000000000001</v>
      </c>
      <c r="D3" s="14">
        <v>0</v>
      </c>
      <c r="E3" s="14">
        <v>0</v>
      </c>
      <c r="F3" s="14">
        <v>0</v>
      </c>
      <c r="G3" s="14">
        <v>0.57099999999999995</v>
      </c>
      <c r="H3" s="14">
        <v>0</v>
      </c>
      <c r="I3" s="14">
        <v>5.0530785562632692E-2</v>
      </c>
      <c r="J3" s="14">
        <v>2.4400000000000002E-2</v>
      </c>
      <c r="K3" s="14">
        <v>196.8467151051625</v>
      </c>
      <c r="L3" s="14">
        <v>0</v>
      </c>
      <c r="M3" s="14">
        <v>2.15</v>
      </c>
    </row>
    <row r="4" spans="1:13" x14ac:dyDescent="0.25">
      <c r="A4" s="3">
        <f>A3+1</f>
        <v>1</v>
      </c>
      <c r="B4" s="4" t="s">
        <v>30</v>
      </c>
      <c r="C4" s="14">
        <v>0</v>
      </c>
      <c r="D4" s="14">
        <v>0</v>
      </c>
      <c r="E4" s="14">
        <v>0.41599999999999998</v>
      </c>
      <c r="F4" s="14">
        <v>0</v>
      </c>
      <c r="G4" s="14">
        <v>0</v>
      </c>
      <c r="H4" s="14">
        <v>0.58399999999999996</v>
      </c>
      <c r="I4" s="16">
        <v>8.1528662420382169E-4</v>
      </c>
      <c r="J4" s="14">
        <v>0</v>
      </c>
      <c r="K4" s="14">
        <v>75.994263862332701</v>
      </c>
      <c r="L4" s="14">
        <v>0.39140000000000003</v>
      </c>
      <c r="M4" s="14">
        <v>0</v>
      </c>
    </row>
    <row r="5" spans="1:13" x14ac:dyDescent="0.25">
      <c r="A5" s="17" t="s">
        <v>24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25">
      <c r="A6" s="3">
        <f>A4+1</f>
        <v>2</v>
      </c>
      <c r="B6" s="4" t="str">
        <f>B3</f>
        <v>EBP</v>
      </c>
      <c r="C6" s="14">
        <v>0</v>
      </c>
      <c r="D6" s="14">
        <f>C3</f>
        <v>0.45300000000000001</v>
      </c>
      <c r="E6" s="14">
        <f t="shared" ref="E6:M6" si="0">E3</f>
        <v>0</v>
      </c>
      <c r="F6" s="14">
        <f t="shared" si="0"/>
        <v>0</v>
      </c>
      <c r="G6" s="14">
        <f t="shared" si="0"/>
        <v>0.57099999999999995</v>
      </c>
      <c r="H6" s="14">
        <f t="shared" si="0"/>
        <v>0</v>
      </c>
      <c r="I6" s="14">
        <f t="shared" si="0"/>
        <v>5.0530785562632692E-2</v>
      </c>
      <c r="J6" s="14">
        <f t="shared" si="0"/>
        <v>2.4400000000000002E-2</v>
      </c>
      <c r="K6" s="14">
        <f t="shared" si="0"/>
        <v>196.8467151051625</v>
      </c>
      <c r="L6" s="14">
        <f t="shared" si="0"/>
        <v>0</v>
      </c>
      <c r="M6" s="14">
        <f t="shared" si="0"/>
        <v>2.15</v>
      </c>
    </row>
    <row r="7" spans="1:13" x14ac:dyDescent="0.25">
      <c r="A7" s="3">
        <f t="shared" ref="A7" si="1">A6+1</f>
        <v>3</v>
      </c>
      <c r="B7" s="4" t="str">
        <f>B4</f>
        <v>ATV</v>
      </c>
      <c r="C7" s="14">
        <f>C4</f>
        <v>0</v>
      </c>
      <c r="D7" s="14">
        <f>D4</f>
        <v>0</v>
      </c>
      <c r="E7" s="14">
        <v>0</v>
      </c>
      <c r="F7" s="14">
        <f>E4</f>
        <v>0.41599999999999998</v>
      </c>
      <c r="G7" s="14">
        <f t="shared" ref="G7:M7" si="2">G4</f>
        <v>0</v>
      </c>
      <c r="H7" s="14">
        <f t="shared" si="2"/>
        <v>0.58399999999999996</v>
      </c>
      <c r="I7" s="16">
        <f t="shared" si="2"/>
        <v>8.1528662420382169E-4</v>
      </c>
      <c r="J7" s="14">
        <f t="shared" si="2"/>
        <v>0</v>
      </c>
      <c r="K7" s="14">
        <f t="shared" si="2"/>
        <v>75.994263862332701</v>
      </c>
      <c r="L7" s="14">
        <f t="shared" si="2"/>
        <v>0.39140000000000003</v>
      </c>
      <c r="M7" s="14">
        <f t="shared" si="2"/>
        <v>0</v>
      </c>
    </row>
  </sheetData>
  <mergeCells count="2">
    <mergeCell ref="A5:M5"/>
    <mergeCell ref="A2:M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1E91-0287-4BBA-B14B-2DBDA7A3E723}">
  <dimension ref="A1:P7"/>
  <sheetViews>
    <sheetView tabSelected="1" workbookViewId="0">
      <selection activeCell="M26" sqref="M26"/>
    </sheetView>
  </sheetViews>
  <sheetFormatPr defaultRowHeight="15" x14ac:dyDescent="0.25"/>
  <cols>
    <col min="1" max="1" width="3" bestFit="1" customWidth="1"/>
    <col min="2" max="2" width="16.7109375" bestFit="1" customWidth="1"/>
    <col min="3" max="3" width="12.7109375" bestFit="1" customWidth="1"/>
    <col min="4" max="4" width="15.85546875" bestFit="1" customWidth="1"/>
    <col min="5" max="5" width="14" bestFit="1" customWidth="1"/>
    <col min="6" max="6" width="16.5703125" bestFit="1" customWidth="1"/>
    <col min="7" max="7" width="12.42578125" bestFit="1" customWidth="1"/>
    <col min="8" max="8" width="7.85546875" bestFit="1" customWidth="1"/>
    <col min="9" max="9" width="23.28515625" bestFit="1" customWidth="1"/>
    <col min="10" max="10" width="20.42578125" bestFit="1" customWidth="1"/>
    <col min="11" max="11" width="17.42578125" bestFit="1" customWidth="1"/>
    <col min="12" max="13" width="23" bestFit="1" customWidth="1"/>
  </cols>
  <sheetData>
    <row r="1" spans="1:16" x14ac:dyDescent="0.25">
      <c r="A1" s="2"/>
      <c r="B1" s="6" t="s">
        <v>2</v>
      </c>
      <c r="C1" s="12" t="s">
        <v>18</v>
      </c>
      <c r="D1" s="12" t="s">
        <v>22</v>
      </c>
      <c r="E1" s="12" t="s">
        <v>19</v>
      </c>
      <c r="F1" s="12" t="s">
        <v>23</v>
      </c>
      <c r="G1" s="12" t="s">
        <v>21</v>
      </c>
      <c r="H1" s="12" t="s">
        <v>20</v>
      </c>
      <c r="I1" s="12" t="s">
        <v>16</v>
      </c>
      <c r="J1" s="12" t="s">
        <v>5</v>
      </c>
      <c r="K1" s="12" t="s">
        <v>4</v>
      </c>
      <c r="L1" s="12" t="s">
        <v>25</v>
      </c>
      <c r="M1" s="12" t="s">
        <v>26</v>
      </c>
      <c r="N1" s="27" t="s">
        <v>1</v>
      </c>
      <c r="O1" s="27" t="s">
        <v>39</v>
      </c>
      <c r="P1" s="27" t="s">
        <v>40</v>
      </c>
    </row>
    <row r="2" spans="1:16" x14ac:dyDescent="0.25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pans="1:16" x14ac:dyDescent="0.25">
      <c r="A3" s="3">
        <v>0</v>
      </c>
      <c r="B3" s="4" t="s">
        <v>29</v>
      </c>
      <c r="C3" s="5">
        <f>mass_balance!C3*prices!A$3</f>
        <v>0.80166867494129479</v>
      </c>
      <c r="D3" s="5">
        <f>mass_balance!D3*prices!B$3</f>
        <v>0</v>
      </c>
      <c r="E3" s="5">
        <f>mass_balance!E3*prices!C$3</f>
        <v>0</v>
      </c>
      <c r="F3" s="5">
        <f>mass_balance!F3*prices!D$3</f>
        <v>0</v>
      </c>
      <c r="G3" s="5">
        <f>mass_balance!G3*prices!E$3</f>
        <v>0.22194871519624282</v>
      </c>
      <c r="H3" s="5">
        <f>mass_balance!H3*prices!F$3</f>
        <v>0</v>
      </c>
      <c r="I3" s="5">
        <f>mass_balance!I3*prices!G$3</f>
        <v>1.4378461105863695E-2</v>
      </c>
      <c r="J3" s="5">
        <f>mass_balance!J3*prices!H$3</f>
        <v>2.2810927407407411E-3</v>
      </c>
      <c r="K3" s="5">
        <f>mass_balance!K3*prices!I$3</f>
        <v>9.5186322681963011E-3</v>
      </c>
      <c r="L3" s="5">
        <f>mass_balance!L3*prices!J$3</f>
        <v>0</v>
      </c>
      <c r="M3" s="5">
        <f>mass_balance!M3*prices!K$3</f>
        <v>9.2880000000000004E-2</v>
      </c>
      <c r="N3" s="26">
        <f>SUM(C3:M3)</f>
        <v>1.1426755762523386</v>
      </c>
      <c r="O3" s="26">
        <f>SUMPRODUCT(mass_balance!C3:M3, prices!$A$4:$K$4)</f>
        <v>0.92145283706167103</v>
      </c>
      <c r="P3" s="26">
        <f>SUMPRODUCT(mass_balance!C3:M3, prices!$A$5:$K$5)</f>
        <v>1.2062629892919252</v>
      </c>
    </row>
    <row r="4" spans="1:16" x14ac:dyDescent="0.25">
      <c r="A4" s="3">
        <f>A3+1</f>
        <v>1</v>
      </c>
      <c r="B4" s="4" t="s">
        <v>30</v>
      </c>
      <c r="C4" s="5">
        <f>mass_balance!C4*prices!A$3</f>
        <v>0</v>
      </c>
      <c r="D4" s="5">
        <f>mass_balance!D4*prices!B$3</f>
        <v>0</v>
      </c>
      <c r="E4" s="5">
        <f>mass_balance!E4*prices!C$3</f>
        <v>0.49046400000000001</v>
      </c>
      <c r="F4" s="5">
        <f>mass_balance!F4*prices!D$3</f>
        <v>0</v>
      </c>
      <c r="G4" s="5">
        <f>mass_balance!G4*prices!E$3</f>
        <v>0</v>
      </c>
      <c r="H4" s="5">
        <f>mass_balance!H4*prices!F$3</f>
        <v>8.9351999999999987E-2</v>
      </c>
      <c r="I4" s="5">
        <f>mass_balance!I4*prices!G$3</f>
        <v>2.3198861616183442E-4</v>
      </c>
      <c r="J4" s="5">
        <f>mass_balance!J4*prices!H$3</f>
        <v>0</v>
      </c>
      <c r="K4" s="5">
        <f>mass_balance!K4*prices!I$3</f>
        <v>3.6747448480985759E-3</v>
      </c>
      <c r="L4" s="5">
        <f>mass_balance!L4*prices!J$3</f>
        <v>7.2408999999999998E-3</v>
      </c>
      <c r="M4" s="5">
        <f>mass_balance!M4*prices!K$3</f>
        <v>0</v>
      </c>
      <c r="N4" s="26">
        <f>SUM(C4:M4)</f>
        <v>0.5909636334642604</v>
      </c>
      <c r="O4" s="26">
        <f>SUMPRODUCT(mass_balance!C4:M4, prices!$A$4:$K$4)</f>
        <v>0.45901665274618769</v>
      </c>
      <c r="P4" s="26">
        <f>SUMPRODUCT(mass_balance!C4:M4, prices!$A$5:$K$5)</f>
        <v>0.87642768561242979</v>
      </c>
    </row>
    <row r="5" spans="1:16" x14ac:dyDescent="0.25">
      <c r="A5" s="19" t="s">
        <v>24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1"/>
      <c r="N5" s="26"/>
      <c r="O5" s="26"/>
      <c r="P5" s="6"/>
    </row>
    <row r="6" spans="1:16" x14ac:dyDescent="0.25">
      <c r="A6" s="3">
        <f>A4+1</f>
        <v>2</v>
      </c>
      <c r="B6" s="4" t="str">
        <f>B3</f>
        <v>EBP</v>
      </c>
      <c r="C6" s="5">
        <f>mass_balance!C6*prices!A$3</f>
        <v>0</v>
      </c>
      <c r="D6" s="5">
        <f>mass_balance!D6*prices!B$3</f>
        <v>1.9866768000000001</v>
      </c>
      <c r="E6" s="5">
        <f>mass_balance!E6*prices!C$3</f>
        <v>0</v>
      </c>
      <c r="F6" s="5">
        <f>mass_balance!F6*prices!D$3</f>
        <v>0</v>
      </c>
      <c r="G6" s="5">
        <f>mass_balance!G6*prices!E$3</f>
        <v>0.22194871519624282</v>
      </c>
      <c r="H6" s="5">
        <f>mass_balance!H6*prices!F$3</f>
        <v>0</v>
      </c>
      <c r="I6" s="5">
        <f>mass_balance!I6*prices!G$3</f>
        <v>1.4378461105863695E-2</v>
      </c>
      <c r="J6" s="5">
        <f>mass_balance!J6*prices!H$3</f>
        <v>2.2810927407407411E-3</v>
      </c>
      <c r="K6" s="5">
        <f>mass_balance!K6*prices!I$3</f>
        <v>9.5186322681963011E-3</v>
      </c>
      <c r="L6" s="5">
        <f>mass_balance!L6*prices!J$3</f>
        <v>0</v>
      </c>
      <c r="M6" s="5">
        <f>mass_balance!M6*prices!K$3</f>
        <v>9.2880000000000004E-2</v>
      </c>
      <c r="N6" s="26">
        <f>SUM(C6:M6)</f>
        <v>2.3276837013110439</v>
      </c>
      <c r="O6" s="26">
        <f>SUMPRODUCT(mass_balance!C6:M6, prices!$A$4:$K$4)</f>
        <v>2.3224006370616719</v>
      </c>
      <c r="P6" s="26">
        <f>SUMPRODUCT(mass_balance!C6:M6, prices!$A$5:$K$5)</f>
        <v>2.334543841016063</v>
      </c>
    </row>
    <row r="7" spans="1:16" x14ac:dyDescent="0.25">
      <c r="A7" s="3">
        <f t="shared" ref="A7" si="0">A6+1</f>
        <v>3</v>
      </c>
      <c r="B7" s="4" t="str">
        <f>B4</f>
        <v>ATV</v>
      </c>
      <c r="C7" s="5">
        <f>mass_balance!C7*prices!A$3</f>
        <v>0</v>
      </c>
      <c r="D7" s="5">
        <f>mass_balance!D7*prices!B$3</f>
        <v>0</v>
      </c>
      <c r="E7" s="5">
        <f>mass_balance!E7*prices!C$3</f>
        <v>0</v>
      </c>
      <c r="F7" s="5">
        <f>mass_balance!F7*prices!D$3</f>
        <v>0.64604799999999996</v>
      </c>
      <c r="G7" s="5">
        <f>mass_balance!G7*prices!E$3</f>
        <v>0</v>
      </c>
      <c r="H7" s="5">
        <f>mass_balance!H7*prices!F$3</f>
        <v>8.9351999999999987E-2</v>
      </c>
      <c r="I7" s="5">
        <f>mass_balance!I7*prices!G$3</f>
        <v>2.3198861616183442E-4</v>
      </c>
      <c r="J7" s="5">
        <f>mass_balance!J7*prices!H$3</f>
        <v>0</v>
      </c>
      <c r="K7" s="5">
        <f>mass_balance!K7*prices!I$3</f>
        <v>3.6747448480985759E-3</v>
      </c>
      <c r="L7" s="5">
        <f>mass_balance!L7*prices!J$3</f>
        <v>7.2408999999999998E-3</v>
      </c>
      <c r="M7" s="5">
        <f>mass_balance!M7*prices!K$3</f>
        <v>0</v>
      </c>
      <c r="N7" s="26">
        <f>SUM(C7:M7)</f>
        <v>0.74654763346426034</v>
      </c>
      <c r="O7" s="26">
        <f>SUMPRODUCT(mass_balance!C7:M7, prices!$A$4:$K$4)</f>
        <v>0.50103265274618769</v>
      </c>
      <c r="P7" s="26">
        <f>SUMPRODUCT(mass_balance!C7:M7, prices!$A$5:$K$5)</f>
        <v>1.1326836856124296</v>
      </c>
    </row>
  </sheetData>
  <mergeCells count="2">
    <mergeCell ref="A5:M5"/>
    <mergeCell ref="A2:M2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552D-A147-4206-8FC6-95CE4C6C0B72}">
  <dimension ref="A1:K27"/>
  <sheetViews>
    <sheetView zoomScale="85" zoomScaleNormal="85" workbookViewId="0">
      <selection activeCell="E41" sqref="E41"/>
    </sheetView>
  </sheetViews>
  <sheetFormatPr defaultRowHeight="15" x14ac:dyDescent="0.25"/>
  <cols>
    <col min="1" max="1" width="25.140625" bestFit="1" customWidth="1"/>
    <col min="2" max="2" width="87.42578125" bestFit="1" customWidth="1"/>
    <col min="3" max="3" width="14" bestFit="1" customWidth="1"/>
    <col min="4" max="4" width="16.5703125" bestFit="1" customWidth="1"/>
    <col min="5" max="5" width="12.42578125" bestFit="1" customWidth="1"/>
    <col min="6" max="6" width="7.85546875" bestFit="1" customWidth="1"/>
    <col min="7" max="7" width="23.28515625" bestFit="1" customWidth="1"/>
    <col min="8" max="8" width="20.42578125" bestFit="1" customWidth="1"/>
    <col min="9" max="9" width="17.42578125" bestFit="1" customWidth="1"/>
    <col min="10" max="11" width="23" bestFit="1" customWidth="1"/>
  </cols>
  <sheetData>
    <row r="1" spans="1:11" x14ac:dyDescent="0.25">
      <c r="A1" s="8" t="s">
        <v>7</v>
      </c>
    </row>
    <row r="2" spans="1:11" x14ac:dyDescent="0.25">
      <c r="A2" s="12" t="s">
        <v>18</v>
      </c>
      <c r="B2" s="12" t="s">
        <v>22</v>
      </c>
      <c r="C2" s="12" t="s">
        <v>19</v>
      </c>
      <c r="D2" s="12" t="s">
        <v>23</v>
      </c>
      <c r="E2" s="12" t="s">
        <v>21</v>
      </c>
      <c r="F2" s="12" t="s">
        <v>20</v>
      </c>
      <c r="G2" s="12" t="s">
        <v>16</v>
      </c>
      <c r="H2" s="12" t="s">
        <v>5</v>
      </c>
      <c r="I2" s="12" t="s">
        <v>4</v>
      </c>
      <c r="J2" s="12" t="s">
        <v>25</v>
      </c>
      <c r="K2" s="12" t="s">
        <v>26</v>
      </c>
    </row>
    <row r="3" spans="1:11" x14ac:dyDescent="0.25">
      <c r="A3" s="5">
        <f>1293/1000*$B$13/$B$12</f>
        <v>1.7696880241529687</v>
      </c>
      <c r="B3" s="5">
        <f>4385.6/1000</f>
        <v>4.3856000000000002</v>
      </c>
      <c r="C3" s="5">
        <v>1.179</v>
      </c>
      <c r="D3" s="5">
        <v>1.5529999999999999</v>
      </c>
      <c r="E3" s="5">
        <f>0.284*$B$13/$B$12</f>
        <v>0.38870177792687011</v>
      </c>
      <c r="F3" s="5">
        <f>153/1000</f>
        <v>0.153</v>
      </c>
      <c r="G3" s="5">
        <v>0.28454853701100002</v>
      </c>
      <c r="H3" s="5">
        <v>9.3487407407407408E-2</v>
      </c>
      <c r="I3" s="11">
        <f>0.036/1000*$B$13/$B$11</f>
        <v>4.8355555555555546E-5</v>
      </c>
      <c r="J3" s="5">
        <f>18.5/1000</f>
        <v>1.8499999999999999E-2</v>
      </c>
      <c r="K3" s="5">
        <f>43.2/1000</f>
        <v>4.3200000000000002E-2</v>
      </c>
    </row>
    <row r="4" spans="1:11" x14ac:dyDescent="0.25">
      <c r="A4" s="5">
        <v>1.2929999999999999</v>
      </c>
      <c r="B4" s="5">
        <f>4385.6/1000</f>
        <v>4.3856000000000002</v>
      </c>
      <c r="C4" s="5">
        <v>0.86199999999999999</v>
      </c>
      <c r="D4" s="5">
        <v>0.96299999999999997</v>
      </c>
      <c r="E4" s="5">
        <f>0.284*$B$13/$B$12</f>
        <v>0.38870177792687011</v>
      </c>
      <c r="F4" s="5">
        <f>153/1000</f>
        <v>0.153</v>
      </c>
      <c r="G4" s="5">
        <f>192.58/1000</f>
        <v>0.19258</v>
      </c>
      <c r="H4" s="5">
        <f>50.2/1000*$B$13/$B$11</f>
        <v>6.7429135802469134E-2</v>
      </c>
      <c r="I4" s="11">
        <f>0.036/1000*$B$13/$B$11</f>
        <v>4.8355555555555546E-5</v>
      </c>
      <c r="J4" s="5">
        <f>18.5/1000</f>
        <v>1.8499999999999999E-2</v>
      </c>
      <c r="K4" s="5">
        <f>43.2/1000</f>
        <v>4.3200000000000002E-2</v>
      </c>
    </row>
    <row r="5" spans="1:11" x14ac:dyDescent="0.25">
      <c r="A5" s="5">
        <f>A4*B13/B8</f>
        <v>1.8949137931034483</v>
      </c>
      <c r="B5" s="5">
        <f>4385.6/1000</f>
        <v>4.3856000000000002</v>
      </c>
      <c r="C5" s="5">
        <v>1.865</v>
      </c>
      <c r="D5" s="5">
        <v>2.4809999999999999</v>
      </c>
      <c r="E5" s="5">
        <f>0.284*$B$13/$B$12</f>
        <v>0.38870177792687011</v>
      </c>
      <c r="F5" s="5">
        <f>153/1000</f>
        <v>0.153</v>
      </c>
      <c r="G5" s="5">
        <f>392.55/1000</f>
        <v>0.39255000000000001</v>
      </c>
      <c r="H5" s="5">
        <f>112.4/1000*$B$13/$B$11</f>
        <v>0.1509767901234568</v>
      </c>
      <c r="I5" s="11">
        <f>0.036/1000*$B$13/$B$11</f>
        <v>4.8355555555555546E-5</v>
      </c>
      <c r="J5" s="5">
        <f>18.5/1000</f>
        <v>1.8499999999999999E-2</v>
      </c>
      <c r="K5" s="5">
        <f>43.2/1000</f>
        <v>4.3200000000000002E-2</v>
      </c>
    </row>
    <row r="7" spans="1:11" x14ac:dyDescent="0.25">
      <c r="A7" s="6" t="s">
        <v>8</v>
      </c>
    </row>
    <row r="8" spans="1:11" x14ac:dyDescent="0.25">
      <c r="A8" s="2" t="s">
        <v>17</v>
      </c>
      <c r="B8" s="9">
        <v>556.79999999999995</v>
      </c>
    </row>
    <row r="9" spans="1:11" x14ac:dyDescent="0.25">
      <c r="A9" s="2" t="s">
        <v>9</v>
      </c>
      <c r="B9" s="9">
        <v>567.5</v>
      </c>
    </row>
    <row r="10" spans="1:11" x14ac:dyDescent="0.25">
      <c r="A10" s="2" t="s">
        <v>10</v>
      </c>
      <c r="B10" s="9">
        <v>603.1</v>
      </c>
    </row>
    <row r="11" spans="1:11" x14ac:dyDescent="0.25">
      <c r="A11" s="2" t="s">
        <v>11</v>
      </c>
      <c r="B11" s="9">
        <v>607.5</v>
      </c>
    </row>
    <row r="12" spans="1:11" x14ac:dyDescent="0.25">
      <c r="A12" s="2" t="s">
        <v>41</v>
      </c>
      <c r="B12" s="9">
        <v>596.20000000000005</v>
      </c>
    </row>
    <row r="13" spans="1:11" x14ac:dyDescent="0.25">
      <c r="A13" s="10" t="s">
        <v>12</v>
      </c>
      <c r="B13" s="9">
        <v>816</v>
      </c>
    </row>
    <row r="16" spans="1:11" x14ac:dyDescent="0.25">
      <c r="A16" s="6" t="s">
        <v>13</v>
      </c>
    </row>
    <row r="17" spans="1:2" x14ac:dyDescent="0.25">
      <c r="A17" s="13" t="s">
        <v>18</v>
      </c>
      <c r="B17" s="2" t="s">
        <v>14</v>
      </c>
    </row>
    <row r="18" spans="1:2" x14ac:dyDescent="0.25">
      <c r="A18" s="13" t="s">
        <v>22</v>
      </c>
      <c r="B18" s="2" t="s">
        <v>32</v>
      </c>
    </row>
    <row r="19" spans="1:2" x14ac:dyDescent="0.25">
      <c r="A19" s="13" t="s">
        <v>19</v>
      </c>
      <c r="B19" s="2" t="s">
        <v>31</v>
      </c>
    </row>
    <row r="20" spans="1:2" x14ac:dyDescent="0.25">
      <c r="A20" s="13" t="s">
        <v>23</v>
      </c>
      <c r="B20" s="2" t="s">
        <v>31</v>
      </c>
    </row>
    <row r="21" spans="1:2" x14ac:dyDescent="0.25">
      <c r="A21" s="13" t="s">
        <v>21</v>
      </c>
      <c r="B21" s="2" t="s">
        <v>35</v>
      </c>
    </row>
    <row r="22" spans="1:2" x14ac:dyDescent="0.25">
      <c r="A22" s="13" t="s">
        <v>20</v>
      </c>
      <c r="B22" s="2" t="s">
        <v>33</v>
      </c>
    </row>
    <row r="23" spans="1:2" x14ac:dyDescent="0.25">
      <c r="A23" s="13" t="s">
        <v>16</v>
      </c>
      <c r="B23" s="2" t="s">
        <v>15</v>
      </c>
    </row>
    <row r="24" spans="1:2" x14ac:dyDescent="0.25">
      <c r="A24" s="13" t="s">
        <v>5</v>
      </c>
      <c r="B24" s="2" t="s">
        <v>14</v>
      </c>
    </row>
    <row r="25" spans="1:2" x14ac:dyDescent="0.25">
      <c r="A25" s="13" t="s">
        <v>4</v>
      </c>
      <c r="B25" s="2" t="s">
        <v>14</v>
      </c>
    </row>
    <row r="26" spans="1:2" x14ac:dyDescent="0.25">
      <c r="A26" s="13" t="s">
        <v>25</v>
      </c>
      <c r="B26" s="2" t="s">
        <v>34</v>
      </c>
    </row>
    <row r="27" spans="1:2" x14ac:dyDescent="0.25">
      <c r="A27" s="13" t="s">
        <v>26</v>
      </c>
      <c r="B27" s="2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mass_balance</vt:lpstr>
      <vt:lpstr>economics</vt:lpstr>
      <vt:lpstr>prices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2024-09-06T09:12:38Z</dcterms:modified>
</cp:coreProperties>
</file>