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Side projects\Acetylene production\writing\"/>
    </mc:Choice>
  </mc:AlternateContent>
  <xr:revisionPtr revIDLastSave="0" documentId="8_{DD681D50-7E97-4770-8825-53655B9ECF16}" xr6:coauthVersionLast="36" xr6:coauthVersionMax="36" xr10:uidLastSave="{00000000-0000-0000-0000-000000000000}"/>
  <bookViews>
    <workbookView xWindow="0" yWindow="0" windowWidth="28800" windowHeight="13425" activeTab="1" xr2:uid="{AFF3B912-9D7D-4D91-A3BF-7004B31B1DE5}"/>
  </bookViews>
  <sheets>
    <sheet name="biochar_availability" sheetId="1" r:id="rId1"/>
    <sheet name="biomethane_availabilit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B3" i="2"/>
  <c r="D8" i="2" s="1"/>
  <c r="B6" i="2"/>
  <c r="B5" i="2"/>
  <c r="B9" i="1"/>
  <c r="B7" i="1"/>
  <c r="B12" i="1"/>
  <c r="D12" i="1" s="1"/>
  <c r="B8" i="1"/>
  <c r="B5" i="1"/>
  <c r="B8" i="2" l="1"/>
  <c r="B11" i="1" l="1"/>
  <c r="D11" i="1" s="1"/>
</calcChain>
</file>

<file path=xl/sharedStrings.xml><?xml version="1.0" encoding="utf-8"?>
<sst xmlns="http://schemas.openxmlformats.org/spreadsheetml/2006/main" count="30" uniqueCount="23">
  <si>
    <t>Biochar</t>
  </si>
  <si>
    <r>
      <t>Gt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-eq Gt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biochar</t>
    </r>
  </si>
  <si>
    <r>
      <t>Gt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-eq yr</t>
    </r>
    <r>
      <rPr>
        <vertAlign val="superscript"/>
        <sz val="11"/>
        <color theme="1"/>
        <rFont val="Calibri"/>
        <family val="2"/>
        <scheme val="minor"/>
      </rPr>
      <t>-1</t>
    </r>
  </si>
  <si>
    <t>Biochar required per Gt acetylene</t>
  </si>
  <si>
    <r>
      <t>Gt biochar Gt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acetylene</t>
    </r>
  </si>
  <si>
    <r>
      <t>Gt biochar yr</t>
    </r>
    <r>
      <rPr>
        <vertAlign val="superscript"/>
        <sz val="11"/>
        <color theme="1"/>
        <rFont val="Calibri"/>
        <family val="2"/>
        <scheme val="minor"/>
      </rPr>
      <t>-1</t>
    </r>
  </si>
  <si>
    <t>Acetylene world demand</t>
  </si>
  <si>
    <r>
      <t>Gt acetylene yr</t>
    </r>
    <r>
      <rPr>
        <vertAlign val="superscript"/>
        <sz val="11"/>
        <color theme="1"/>
        <rFont val="Calibri"/>
        <family val="2"/>
        <scheme val="minor"/>
      </rPr>
      <t>-1</t>
    </r>
  </si>
  <si>
    <t>%</t>
  </si>
  <si>
    <t>Potential max</t>
  </si>
  <si>
    <t>Potential mean</t>
  </si>
  <si>
    <t>Biochar world potential max</t>
  </si>
  <si>
    <t>Biochar world potential mean</t>
  </si>
  <si>
    <t>Biochar needed for acetylene max potential</t>
  </si>
  <si>
    <t>Biochar needed for acetylene mean potential</t>
  </si>
  <si>
    <t>Acetylene current demand</t>
  </si>
  <si>
    <t>Biomethane required</t>
  </si>
  <si>
    <t>Biomethane required per kg</t>
  </si>
  <si>
    <t>Gt biomethane per year</t>
  </si>
  <si>
    <t>Gt acetylene per year</t>
  </si>
  <si>
    <t>Gt biomethane per Gt acetylene</t>
  </si>
  <si>
    <t>kg</t>
  </si>
  <si>
    <t>Biomethane potential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</si>
</sst>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0000"/>
    <numFmt numFmtId="171" formatCode="0.0"/>
  </numFmts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4A3D-DA89-4F65-B0CF-F1C9B5F90586}">
  <dimension ref="A2:E13"/>
  <sheetViews>
    <sheetView workbookViewId="0">
      <selection activeCell="B9" sqref="B9"/>
    </sheetView>
  </sheetViews>
  <sheetFormatPr defaultRowHeight="15" x14ac:dyDescent="0.25"/>
  <cols>
    <col min="1" max="1" width="60.140625" bestFit="1" customWidth="1"/>
    <col min="3" max="3" width="28" bestFit="1" customWidth="1"/>
  </cols>
  <sheetData>
    <row r="2" spans="1:5" ht="18.75" x14ac:dyDescent="0.35">
      <c r="A2" t="s">
        <v>0</v>
      </c>
      <c r="B2" s="1">
        <v>-3.8586535119543299</v>
      </c>
      <c r="C2" t="s">
        <v>1</v>
      </c>
    </row>
    <row r="3" spans="1:5" ht="18.75" x14ac:dyDescent="0.35">
      <c r="A3" t="s">
        <v>9</v>
      </c>
      <c r="B3" s="1">
        <v>-2</v>
      </c>
      <c r="C3" t="s">
        <v>2</v>
      </c>
    </row>
    <row r="4" spans="1:5" ht="18.75" x14ac:dyDescent="0.35">
      <c r="A4" t="s">
        <v>10</v>
      </c>
      <c r="B4" s="1">
        <v>-1.1499999999999999</v>
      </c>
      <c r="C4" t="s">
        <v>2</v>
      </c>
    </row>
    <row r="5" spans="1:5" ht="17.25" x14ac:dyDescent="0.25">
      <c r="A5" t="s">
        <v>3</v>
      </c>
      <c r="B5" s="1">
        <f>3.1*0.645</f>
        <v>1.9995000000000001</v>
      </c>
      <c r="C5" t="s">
        <v>4</v>
      </c>
    </row>
    <row r="7" spans="1:5" ht="17.25" x14ac:dyDescent="0.25">
      <c r="A7" t="s">
        <v>11</v>
      </c>
      <c r="B7" s="1">
        <f>B3/B2</f>
        <v>0.51831551959871114</v>
      </c>
      <c r="C7" t="s">
        <v>5</v>
      </c>
    </row>
    <row r="8" spans="1:5" ht="17.25" x14ac:dyDescent="0.25">
      <c r="A8" t="s">
        <v>12</v>
      </c>
      <c r="B8" s="1">
        <f>B4/B2</f>
        <v>0.2980314237692589</v>
      </c>
      <c r="C8" t="s">
        <v>5</v>
      </c>
    </row>
    <row r="9" spans="1:5" ht="17.25" x14ac:dyDescent="0.25">
      <c r="A9" t="s">
        <v>6</v>
      </c>
      <c r="B9" s="3">
        <f>11/1000</f>
        <v>1.0999999999999999E-2</v>
      </c>
      <c r="C9" t="s">
        <v>7</v>
      </c>
    </row>
    <row r="11" spans="1:5" ht="17.25" x14ac:dyDescent="0.25">
      <c r="A11" t="s">
        <v>13</v>
      </c>
      <c r="B11" s="1">
        <f>B9*B5</f>
        <v>2.19945E-2</v>
      </c>
      <c r="C11" t="s">
        <v>5</v>
      </c>
      <c r="D11" s="6">
        <f>B11/B7*100</f>
        <v>4.2434577334339751</v>
      </c>
      <c r="E11" t="s">
        <v>8</v>
      </c>
    </row>
    <row r="12" spans="1:5" ht="17.25" x14ac:dyDescent="0.25">
      <c r="A12" t="s">
        <v>14</v>
      </c>
      <c r="B12" s="1">
        <f>B9*B5</f>
        <v>2.19945E-2</v>
      </c>
      <c r="C12" t="s">
        <v>5</v>
      </c>
      <c r="D12" s="6">
        <f>B12/B8*100</f>
        <v>7.3799264929286528</v>
      </c>
      <c r="E12" t="s">
        <v>8</v>
      </c>
    </row>
    <row r="13" spans="1:5" x14ac:dyDescent="0.25">
      <c r="D1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5CB3-BE54-4A4D-B3A1-6A253EAD29E9}">
  <dimension ref="A2:F8"/>
  <sheetViews>
    <sheetView tabSelected="1" workbookViewId="0">
      <selection activeCell="L6" sqref="L6"/>
    </sheetView>
  </sheetViews>
  <sheetFormatPr defaultRowHeight="15" x14ac:dyDescent="0.25"/>
  <cols>
    <col min="1" max="1" width="28" bestFit="1" customWidth="1"/>
    <col min="2" max="2" width="29.140625" bestFit="1" customWidth="1"/>
    <col min="3" max="3" width="30" bestFit="1" customWidth="1"/>
    <col min="4" max="4" width="5.85546875" bestFit="1" customWidth="1"/>
  </cols>
  <sheetData>
    <row r="2" spans="1:6" x14ac:dyDescent="0.25">
      <c r="A2" t="s">
        <v>22</v>
      </c>
      <c r="B2" s="6">
        <f>151*10^9*0.777</f>
        <v>117327000000</v>
      </c>
      <c r="C2" t="s">
        <v>21</v>
      </c>
      <c r="F2" s="2"/>
    </row>
    <row r="3" spans="1:6" x14ac:dyDescent="0.25">
      <c r="B3" s="4">
        <f>B2/10^12</f>
        <v>0.117327</v>
      </c>
      <c r="C3" t="s">
        <v>18</v>
      </c>
    </row>
    <row r="4" spans="1:6" x14ac:dyDescent="0.25">
      <c r="B4" s="1"/>
    </row>
    <row r="5" spans="1:6" x14ac:dyDescent="0.25">
      <c r="A5" t="s">
        <v>15</v>
      </c>
      <c r="B5" s="1">
        <f>11/1000</f>
        <v>1.0999999999999999E-2</v>
      </c>
      <c r="C5" t="s">
        <v>19</v>
      </c>
    </row>
    <row r="6" spans="1:6" x14ac:dyDescent="0.25">
      <c r="A6" t="s">
        <v>17</v>
      </c>
      <c r="B6" s="5">
        <f>3.559*0.777</f>
        <v>2.7653430000000001</v>
      </c>
      <c r="C6" t="s">
        <v>20</v>
      </c>
    </row>
    <row r="7" spans="1:6" x14ac:dyDescent="0.25">
      <c r="B7" s="1"/>
    </row>
    <row r="8" spans="1:6" x14ac:dyDescent="0.25">
      <c r="A8" t="s">
        <v>16</v>
      </c>
      <c r="B8" s="1">
        <f>B6*B5</f>
        <v>3.0418773E-2</v>
      </c>
      <c r="C8" t="s">
        <v>18</v>
      </c>
      <c r="D8" s="6">
        <f>B8/B3*100</f>
        <v>25.926490066225167</v>
      </c>
      <c r="E8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biochar_availability</vt:lpstr>
      <vt:lpstr>biomethane_availability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2024-11-25T11:47:07Z</dcterms:created>
  <dcterms:modified xsi:type="dcterms:W3CDTF">2024-11-25T21:46:10Z</dcterms:modified>
</cp:coreProperties>
</file>