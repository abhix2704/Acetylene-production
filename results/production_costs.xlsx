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Acetylene production\results\"/>
    </mc:Choice>
  </mc:AlternateContent>
  <xr:revisionPtr revIDLastSave="0" documentId="13_ncr:1_{A430BBA3-924E-406F-8E9F-E8B546A14526}" xr6:coauthVersionLast="36" xr6:coauthVersionMax="47" xr10:uidLastSave="{00000000-0000-0000-0000-000000000000}"/>
  <bookViews>
    <workbookView xWindow="0" yWindow="495" windowWidth="21600" windowHeight="8430" activeTab="5" xr2:uid="{00000000-000D-0000-FFFF-FFFF00000000}"/>
  </bookViews>
  <sheets>
    <sheet name="overall_2020" sheetId="13" r:id="rId1"/>
    <sheet name="overall_2020 (2)" sheetId="22" r:id="rId2"/>
    <sheet name="overall_combined" sheetId="18" r:id="rId3"/>
    <sheet name="mass_balance" sheetId="19" r:id="rId4"/>
    <sheet name="economics" sheetId="21" r:id="rId5"/>
    <sheet name="prices" sheetId="20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20" l="1"/>
  <c r="D3" i="20"/>
  <c r="D4" i="20"/>
  <c r="D5" i="20"/>
  <c r="H4" i="20" l="1"/>
  <c r="I5" i="20"/>
  <c r="I4" i="20"/>
  <c r="I3" i="20"/>
  <c r="H5" i="20"/>
  <c r="H3" i="20"/>
  <c r="G5" i="20"/>
  <c r="G4" i="20"/>
  <c r="G3" i="20"/>
  <c r="E5" i="20"/>
  <c r="E4" i="20"/>
  <c r="E3" i="20"/>
  <c r="C5" i="20"/>
  <c r="F5" i="20" s="1"/>
  <c r="C4" i="20"/>
  <c r="F4" i="20" s="1"/>
  <c r="B5" i="20" l="1"/>
  <c r="B4" i="20"/>
  <c r="A5" i="20"/>
  <c r="O4" i="21" l="1"/>
  <c r="K3" i="13" s="1"/>
  <c r="O5" i="21"/>
  <c r="K4" i="13" s="1"/>
  <c r="O6" i="21"/>
  <c r="K5" i="13" s="1"/>
  <c r="N4" i="21"/>
  <c r="J3" i="13" s="1"/>
  <c r="N5" i="21"/>
  <c r="J4" i="13" s="1"/>
  <c r="N6" i="21"/>
  <c r="J5" i="13" s="1"/>
  <c r="A4" i="22" l="1"/>
  <c r="A5" i="22" s="1"/>
  <c r="A6" i="22" s="1"/>
  <c r="A8" i="22" s="1"/>
  <c r="A9" i="22" s="1"/>
  <c r="A10" i="22" s="1"/>
  <c r="A11" i="22" s="1"/>
  <c r="A3" i="20" l="1"/>
  <c r="C5" i="21" s="1"/>
  <c r="B3" i="20"/>
  <c r="D12" i="21" s="1"/>
  <c r="J6" i="21"/>
  <c r="L7" i="21"/>
  <c r="L6" i="21"/>
  <c r="L5" i="21"/>
  <c r="L4" i="21"/>
  <c r="A4" i="21"/>
  <c r="A5" i="21" s="1"/>
  <c r="A6" i="21" s="1"/>
  <c r="A7" i="21" s="1"/>
  <c r="A9" i="21" s="1"/>
  <c r="A10" i="21" s="1"/>
  <c r="A11" i="21" s="1"/>
  <c r="A12" i="21" s="1"/>
  <c r="A13" i="21" s="1"/>
  <c r="A15" i="21" s="1"/>
  <c r="A16" i="21" s="1"/>
  <c r="A17" i="21" s="1"/>
  <c r="A18" i="21" s="1"/>
  <c r="A19" i="21" s="1"/>
  <c r="F3" i="21"/>
  <c r="I16" i="21"/>
  <c r="H7" i="19"/>
  <c r="C3" i="20"/>
  <c r="N7" i="21" l="1"/>
  <c r="O7" i="21"/>
  <c r="F3" i="20"/>
  <c r="H3" i="21" s="1"/>
  <c r="D3" i="21"/>
  <c r="D4" i="21"/>
  <c r="D6" i="21"/>
  <c r="D7" i="21"/>
  <c r="D10" i="21"/>
  <c r="D11" i="21"/>
  <c r="D13" i="21"/>
  <c r="D5" i="21"/>
  <c r="C4" i="18" s="1"/>
  <c r="C4" i="21"/>
  <c r="I18" i="21"/>
  <c r="J3" i="21"/>
  <c r="H7" i="21"/>
  <c r="E15" i="21"/>
  <c r="F5" i="21"/>
  <c r="C7" i="21"/>
  <c r="E7" i="21"/>
  <c r="F7" i="21"/>
  <c r="E13" i="21"/>
  <c r="J5" i="21"/>
  <c r="F4" i="21"/>
  <c r="E11" i="21"/>
  <c r="C6" i="21"/>
  <c r="I7" i="21"/>
  <c r="E10" i="21"/>
  <c r="I17" i="21"/>
  <c r="E19" i="21"/>
  <c r="H4" i="21"/>
  <c r="J7" i="21"/>
  <c r="I4" i="21"/>
  <c r="E6" i="21"/>
  <c r="E16" i="21"/>
  <c r="I5" i="21"/>
  <c r="I15" i="21"/>
  <c r="F6" i="21"/>
  <c r="E3" i="21"/>
  <c r="C9" i="21"/>
  <c r="E12" i="21"/>
  <c r="I19" i="21"/>
  <c r="E17" i="21"/>
  <c r="H6" i="21"/>
  <c r="J4" i="21"/>
  <c r="I6" i="21"/>
  <c r="E9" i="21"/>
  <c r="E18" i="21"/>
  <c r="H5" i="21" l="1"/>
  <c r="F4" i="22"/>
  <c r="C6" i="22"/>
  <c r="D6" i="22"/>
  <c r="C4" i="22"/>
  <c r="F5" i="18"/>
  <c r="F6" i="22"/>
  <c r="D2" i="18"/>
  <c r="D3" i="22"/>
  <c r="F5" i="22"/>
  <c r="C5" i="22"/>
  <c r="C5" i="18"/>
  <c r="C6" i="18"/>
  <c r="C3" i="18"/>
  <c r="C4" i="13"/>
  <c r="F3" i="18"/>
  <c r="D6" i="18"/>
  <c r="D5" i="18"/>
  <c r="F4" i="18"/>
  <c r="F6" i="18"/>
  <c r="C5" i="13"/>
  <c r="D2" i="13"/>
  <c r="F5" i="13"/>
  <c r="C3" i="13"/>
  <c r="F3" i="13"/>
  <c r="D5" i="13"/>
  <c r="F4" i="13"/>
  <c r="K6" i="21" l="1"/>
  <c r="K4" i="21"/>
  <c r="K7" i="21"/>
  <c r="G6" i="18" s="1"/>
  <c r="K5" i="21"/>
  <c r="G3" i="21"/>
  <c r="G5" i="21"/>
  <c r="G6" i="21"/>
  <c r="G4" i="21"/>
  <c r="G7" i="21"/>
  <c r="E6" i="18" s="1"/>
  <c r="E5" i="18" l="1"/>
  <c r="E6" i="22"/>
  <c r="E3" i="18"/>
  <c r="E4" i="22"/>
  <c r="E2" i="18"/>
  <c r="E3" i="22"/>
  <c r="G4" i="18"/>
  <c r="G5" i="22"/>
  <c r="G3" i="18"/>
  <c r="G4" i="22"/>
  <c r="E4" i="18"/>
  <c r="E5" i="22"/>
  <c r="G5" i="18"/>
  <c r="G6" i="22"/>
  <c r="E4" i="13"/>
  <c r="E2" i="13"/>
  <c r="G3" i="13"/>
  <c r="E3" i="13"/>
  <c r="E5" i="13"/>
  <c r="G4" i="13"/>
  <c r="G5" i="13"/>
  <c r="M7" i="21"/>
  <c r="M6" i="21"/>
  <c r="I6" i="22" l="1"/>
  <c r="F12" i="19"/>
  <c r="F13" i="19"/>
  <c r="F9" i="19"/>
  <c r="D19" i="19"/>
  <c r="D19" i="21" s="1"/>
  <c r="D18" i="19"/>
  <c r="D18" i="21" s="1"/>
  <c r="D17" i="19"/>
  <c r="D17" i="21" s="1"/>
  <c r="D16" i="19"/>
  <c r="D16" i="21" s="1"/>
  <c r="J13" i="19"/>
  <c r="J13" i="21" s="1"/>
  <c r="J12" i="19"/>
  <c r="J12" i="21" s="1"/>
  <c r="J11" i="19"/>
  <c r="J11" i="21" s="1"/>
  <c r="J10" i="19"/>
  <c r="J10" i="21" s="1"/>
  <c r="J9" i="19"/>
  <c r="J9" i="21" s="1"/>
  <c r="H13" i="19"/>
  <c r="H12" i="19"/>
  <c r="H11" i="19"/>
  <c r="H10" i="19"/>
  <c r="H9" i="19"/>
  <c r="G10" i="19"/>
  <c r="I10" i="19"/>
  <c r="K10" i="19"/>
  <c r="L10" i="19"/>
  <c r="G11" i="19"/>
  <c r="I11" i="19"/>
  <c r="K11" i="19"/>
  <c r="L11" i="19"/>
  <c r="G12" i="19"/>
  <c r="I12" i="19"/>
  <c r="K12" i="19"/>
  <c r="L12" i="19"/>
  <c r="G13" i="19"/>
  <c r="I13" i="19"/>
  <c r="K13" i="19"/>
  <c r="L13" i="19"/>
  <c r="C13" i="19"/>
  <c r="C12" i="19"/>
  <c r="C11" i="19"/>
  <c r="C10" i="19"/>
  <c r="G9" i="19"/>
  <c r="K3" i="19"/>
  <c r="K3" i="21" s="1"/>
  <c r="L3" i="19"/>
  <c r="L3" i="21" s="1"/>
  <c r="I3" i="19"/>
  <c r="I3" i="21" s="1"/>
  <c r="C3" i="19"/>
  <c r="N12" i="21" l="1"/>
  <c r="J9" i="13" s="1"/>
  <c r="O12" i="21"/>
  <c r="K9" i="13" s="1"/>
  <c r="N13" i="21"/>
  <c r="O13" i="21"/>
  <c r="C3" i="21"/>
  <c r="C2" i="13" s="1"/>
  <c r="N3" i="21"/>
  <c r="J2" i="13" s="1"/>
  <c r="O3" i="21"/>
  <c r="K2" i="13" s="1"/>
  <c r="C2" i="18"/>
  <c r="C3" i="22"/>
  <c r="F2" i="18"/>
  <c r="F3" i="22"/>
  <c r="G3" i="22"/>
  <c r="G2" i="18"/>
  <c r="F2" i="13"/>
  <c r="G2" i="13"/>
  <c r="H19" i="19"/>
  <c r="H19" i="21" s="1"/>
  <c r="H13" i="21"/>
  <c r="H18" i="19"/>
  <c r="H18" i="21" s="1"/>
  <c r="H12" i="21"/>
  <c r="G18" i="19"/>
  <c r="G18" i="21" s="1"/>
  <c r="G12" i="21"/>
  <c r="J17" i="19"/>
  <c r="J17" i="21" s="1"/>
  <c r="F14" i="18" s="1"/>
  <c r="I11" i="21"/>
  <c r="F10" i="22" s="1"/>
  <c r="K17" i="19"/>
  <c r="K17" i="21" s="1"/>
  <c r="K11" i="21"/>
  <c r="L18" i="19"/>
  <c r="L18" i="21" s="1"/>
  <c r="L12" i="21"/>
  <c r="F19" i="19"/>
  <c r="F19" i="21" s="1"/>
  <c r="D16" i="18" s="1"/>
  <c r="F13" i="21"/>
  <c r="H15" i="19"/>
  <c r="H15" i="21" s="1"/>
  <c r="H9" i="21"/>
  <c r="F11" i="19"/>
  <c r="N11" i="21" s="1"/>
  <c r="J8" i="13" s="1"/>
  <c r="E5" i="21"/>
  <c r="C16" i="19"/>
  <c r="C10" i="21"/>
  <c r="C9" i="22" s="1"/>
  <c r="C17" i="19"/>
  <c r="C11" i="21"/>
  <c r="C10" i="22" s="1"/>
  <c r="K16" i="19"/>
  <c r="K16" i="21" s="1"/>
  <c r="K10" i="21"/>
  <c r="C18" i="19"/>
  <c r="C12" i="21"/>
  <c r="C11" i="22" s="1"/>
  <c r="J16" i="19"/>
  <c r="J16" i="21" s="1"/>
  <c r="F13" i="18" s="1"/>
  <c r="I10" i="21"/>
  <c r="F9" i="22" s="1"/>
  <c r="G16" i="19"/>
  <c r="G16" i="21" s="1"/>
  <c r="G10" i="21"/>
  <c r="F15" i="19"/>
  <c r="F15" i="21" s="1"/>
  <c r="D12" i="18" s="1"/>
  <c r="F9" i="21"/>
  <c r="L19" i="19"/>
  <c r="L19" i="21" s="1"/>
  <c r="L13" i="21"/>
  <c r="K19" i="19"/>
  <c r="K19" i="21" s="1"/>
  <c r="K13" i="21"/>
  <c r="J19" i="19"/>
  <c r="J19" i="21" s="1"/>
  <c r="F16" i="18" s="1"/>
  <c r="I13" i="21"/>
  <c r="H16" i="19"/>
  <c r="H16" i="21" s="1"/>
  <c r="H10" i="21"/>
  <c r="F18" i="19"/>
  <c r="F18" i="21" s="1"/>
  <c r="D15" i="18" s="1"/>
  <c r="F12" i="21"/>
  <c r="D11" i="22" s="1"/>
  <c r="K18" i="19"/>
  <c r="K18" i="21" s="1"/>
  <c r="K12" i="21"/>
  <c r="J18" i="19"/>
  <c r="J18" i="21" s="1"/>
  <c r="F15" i="18" s="1"/>
  <c r="I12" i="21"/>
  <c r="F11" i="22" s="1"/>
  <c r="L17" i="19"/>
  <c r="L17" i="21" s="1"/>
  <c r="L11" i="21"/>
  <c r="G15" i="19"/>
  <c r="G15" i="21" s="1"/>
  <c r="E12" i="18" s="1"/>
  <c r="G9" i="21"/>
  <c r="G17" i="19"/>
  <c r="G17" i="21" s="1"/>
  <c r="G11" i="21"/>
  <c r="L16" i="19"/>
  <c r="L16" i="21" s="1"/>
  <c r="L10" i="21"/>
  <c r="C19" i="19"/>
  <c r="C13" i="21"/>
  <c r="F10" i="19"/>
  <c r="O10" i="21" s="1"/>
  <c r="K7" i="13" s="1"/>
  <c r="E4" i="21"/>
  <c r="G19" i="19"/>
  <c r="G19" i="21" s="1"/>
  <c r="G13" i="21"/>
  <c r="H17" i="19"/>
  <c r="H17" i="21" s="1"/>
  <c r="H11" i="21"/>
  <c r="I9" i="19"/>
  <c r="C15" i="19"/>
  <c r="L9" i="19"/>
  <c r="K9" i="19"/>
  <c r="D9" i="19"/>
  <c r="C18" i="21" l="1"/>
  <c r="C15" i="18" s="1"/>
  <c r="N18" i="21"/>
  <c r="O18" i="21"/>
  <c r="C17" i="21"/>
  <c r="C14" i="18" s="1"/>
  <c r="C15" i="21"/>
  <c r="O11" i="21"/>
  <c r="K8" i="13" s="1"/>
  <c r="N9" i="21"/>
  <c r="J6" i="13" s="1"/>
  <c r="O9" i="21"/>
  <c r="K6" i="13" s="1"/>
  <c r="C16" i="21"/>
  <c r="C13" i="18" s="1"/>
  <c r="N10" i="21"/>
  <c r="J7" i="13" s="1"/>
  <c r="C19" i="21"/>
  <c r="C16" i="18" s="1"/>
  <c r="O19" i="21"/>
  <c r="N19" i="21"/>
  <c r="E9" i="22"/>
  <c r="E8" i="22"/>
  <c r="E11" i="22"/>
  <c r="G11" i="22"/>
  <c r="E16" i="18"/>
  <c r="E9" i="18"/>
  <c r="E10" i="22"/>
  <c r="D4" i="18"/>
  <c r="D5" i="22"/>
  <c r="I5" i="22" s="1"/>
  <c r="D7" i="18"/>
  <c r="D8" i="22"/>
  <c r="E11" i="18"/>
  <c r="G10" i="22"/>
  <c r="I3" i="22"/>
  <c r="D3" i="18"/>
  <c r="D4" i="22"/>
  <c r="I4" i="22" s="1"/>
  <c r="G9" i="22"/>
  <c r="E7" i="18"/>
  <c r="G14" i="18"/>
  <c r="G16" i="18"/>
  <c r="G13" i="18"/>
  <c r="E15" i="18"/>
  <c r="E14" i="18"/>
  <c r="G15" i="18"/>
  <c r="E13" i="18"/>
  <c r="D9" i="13"/>
  <c r="D10" i="18"/>
  <c r="G8" i="13"/>
  <c r="G9" i="18"/>
  <c r="F8" i="13"/>
  <c r="F9" i="18"/>
  <c r="E9" i="13"/>
  <c r="E10" i="18"/>
  <c r="C7" i="13"/>
  <c r="C8" i="18"/>
  <c r="G7" i="13"/>
  <c r="G8" i="18"/>
  <c r="F11" i="18"/>
  <c r="F7" i="13"/>
  <c r="F8" i="18"/>
  <c r="C9" i="13"/>
  <c r="C10" i="18"/>
  <c r="C11" i="18"/>
  <c r="G11" i="18"/>
  <c r="G9" i="13"/>
  <c r="G10" i="18"/>
  <c r="C8" i="13"/>
  <c r="C9" i="18"/>
  <c r="F9" i="13"/>
  <c r="F10" i="18"/>
  <c r="E8" i="18"/>
  <c r="D11" i="18"/>
  <c r="E8" i="13"/>
  <c r="E7" i="13"/>
  <c r="E6" i="13"/>
  <c r="D6" i="13"/>
  <c r="M4" i="21"/>
  <c r="D3" i="13"/>
  <c r="M5" i="21"/>
  <c r="D4" i="13"/>
  <c r="J15" i="19"/>
  <c r="J15" i="21" s="1"/>
  <c r="F12" i="18" s="1"/>
  <c r="I9" i="21"/>
  <c r="F16" i="19"/>
  <c r="F16" i="21" s="1"/>
  <c r="F10" i="21"/>
  <c r="D9" i="22" s="1"/>
  <c r="M13" i="21"/>
  <c r="M18" i="21"/>
  <c r="D15" i="19"/>
  <c r="D15" i="21" s="1"/>
  <c r="D9" i="21"/>
  <c r="C8" i="22" s="1"/>
  <c r="K15" i="19"/>
  <c r="K15" i="21" s="1"/>
  <c r="K9" i="21"/>
  <c r="M12" i="21"/>
  <c r="L15" i="19"/>
  <c r="L15" i="21" s="1"/>
  <c r="L9" i="21"/>
  <c r="F17" i="19"/>
  <c r="F17" i="21" s="1"/>
  <c r="F11" i="21"/>
  <c r="D10" i="22" s="1"/>
  <c r="M3" i="21"/>
  <c r="A4" i="19"/>
  <c r="A5" i="19" s="1"/>
  <c r="A6" i="19" s="1"/>
  <c r="A7" i="19" s="1"/>
  <c r="A9" i="19" s="1"/>
  <c r="A10" i="19" s="1"/>
  <c r="A11" i="19" s="1"/>
  <c r="A12" i="19" s="1"/>
  <c r="A13" i="19" s="1"/>
  <c r="A15" i="19" s="1"/>
  <c r="A16" i="19" s="1"/>
  <c r="A17" i="19" s="1"/>
  <c r="A18" i="19" s="1"/>
  <c r="A19" i="19" s="1"/>
  <c r="N16" i="21" l="1"/>
  <c r="O16" i="21"/>
  <c r="M19" i="21"/>
  <c r="O15" i="21"/>
  <c r="C12" i="18"/>
  <c r="O17" i="21"/>
  <c r="N15" i="21"/>
  <c r="N17" i="21"/>
  <c r="I11" i="22"/>
  <c r="I9" i="22"/>
  <c r="I10" i="22"/>
  <c r="F7" i="18"/>
  <c r="F8" i="22"/>
  <c r="G8" i="22"/>
  <c r="M16" i="21"/>
  <c r="D13" i="18"/>
  <c r="M17" i="21"/>
  <c r="D14" i="18"/>
  <c r="G12" i="18"/>
  <c r="D7" i="13"/>
  <c r="D8" i="18"/>
  <c r="D8" i="13"/>
  <c r="D9" i="18"/>
  <c r="C6" i="13"/>
  <c r="C7" i="18"/>
  <c r="G7" i="18"/>
  <c r="F6" i="13"/>
  <c r="G6" i="13"/>
  <c r="M10" i="21"/>
  <c r="M11" i="21"/>
  <c r="M15" i="21"/>
  <c r="M9" i="21"/>
  <c r="I8" i="22" l="1"/>
  <c r="I6" i="18"/>
  <c r="I5" i="18"/>
  <c r="I4" i="18"/>
  <c r="I3" i="18"/>
  <c r="A3" i="18"/>
  <c r="A4" i="18" s="1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I15" i="18" l="1"/>
  <c r="I16" i="18"/>
  <c r="I13" i="18"/>
  <c r="I14" i="18"/>
  <c r="I12" i="18"/>
  <c r="I11" i="18"/>
  <c r="I10" i="18"/>
  <c r="I9" i="18"/>
  <c r="I8" i="18"/>
  <c r="I7" i="18"/>
  <c r="I2" i="18"/>
  <c r="I2" i="13" l="1"/>
  <c r="I9" i="13" l="1"/>
  <c r="I8" i="13"/>
  <c r="I7" i="13"/>
  <c r="I6" i="13"/>
  <c r="I5" i="13"/>
  <c r="I4" i="13"/>
  <c r="I3" i="13"/>
  <c r="A3" i="13"/>
  <c r="A4" i="13" s="1"/>
  <c r="A5" i="13" s="1"/>
  <c r="A6" i="13" s="1"/>
  <c r="A7" i="13" s="1"/>
  <c r="A8" i="13" s="1"/>
  <c r="A9" i="13" s="1"/>
</calcChain>
</file>

<file path=xl/sharedStrings.xml><?xml version="1.0" encoding="utf-8"?>
<sst xmlns="http://schemas.openxmlformats.org/spreadsheetml/2006/main" count="159" uniqueCount="49">
  <si>
    <t>Electricity</t>
  </si>
  <si>
    <t>Total</t>
  </si>
  <si>
    <t>Scenario</t>
  </si>
  <si>
    <t>Direct emissions</t>
  </si>
  <si>
    <t>Methane</t>
  </si>
  <si>
    <t>Heating</t>
  </si>
  <si>
    <t>Calcium carbide</t>
  </si>
  <si>
    <t>Partial oxidation</t>
  </si>
  <si>
    <t>Hot plasma</t>
  </si>
  <si>
    <t>Cold plasma</t>
  </si>
  <si>
    <t>Thermal pyrolysis</t>
  </si>
  <si>
    <t>Other utilities</t>
  </si>
  <si>
    <t>Coke</t>
  </si>
  <si>
    <t>Coke [kg]</t>
  </si>
  <si>
    <t>Cooling water [kg]</t>
  </si>
  <si>
    <t>Limestone [kg]</t>
  </si>
  <si>
    <t>Methane [kg]</t>
  </si>
  <si>
    <t>Grid electricity [kWh]</t>
  </si>
  <si>
    <t>Wind electricity [kWh]</t>
  </si>
  <si>
    <t>Heating - steam [kg]</t>
  </si>
  <si>
    <t>Biochar [kg]</t>
  </si>
  <si>
    <t>Fossil</t>
  </si>
  <si>
    <t>Green (grid)</t>
  </si>
  <si>
    <t>Green (wind)</t>
  </si>
  <si>
    <t>Biomethane [kg]</t>
  </si>
  <si>
    <t>Heating - natural gas [MJ]</t>
  </si>
  <si>
    <t>*all costs in USD</t>
  </si>
  <si>
    <t>Reference Data</t>
  </si>
  <si>
    <t>CEPCI 2017</t>
  </si>
  <si>
    <t>CEPCI 2018</t>
  </si>
  <si>
    <t>CEPCI 2019</t>
  </si>
  <si>
    <t>CEPCI 2022</t>
  </si>
  <si>
    <t>References</t>
  </si>
  <si>
    <t>https://doi.org/10.1002/cssc.202001312</t>
  </si>
  <si>
    <t>https://www.worldbank.org/en/research/commodity-markets</t>
  </si>
  <si>
    <t>Heating - natural gas [kg]</t>
  </si>
  <si>
    <t>Market state  and trends in renewable and low-carbon gases  in Europe</t>
  </si>
  <si>
    <t>https://markets.businessinsider.com/commodities/coal-price</t>
  </si>
  <si>
    <t>https://businessanalytiq.com/procurementanalytics/index/calcium-carbonate-price-index/</t>
  </si>
  <si>
    <t>CEPCI 2015</t>
  </si>
  <si>
    <t>http://dx.doi.org/10.13140/RG.2.2.34448.30721</t>
  </si>
  <si>
    <t>Thermal plasma</t>
  </si>
  <si>
    <t>Non-thermal plasma</t>
  </si>
  <si>
    <t>Partial combustion</t>
  </si>
  <si>
    <t>Fossil scenario</t>
  </si>
  <si>
    <t>Green scenario</t>
  </si>
  <si>
    <t>Low</t>
  </si>
  <si>
    <t>High</t>
  </si>
  <si>
    <t>CEPCI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</si>
</sst>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164" fontId="0" fillId="0" borderId="1" xfId="0" applyNumberForma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/>
    <xf numFmtId="2" fontId="0" fillId="0" borderId="1" xfId="0" applyNumberFormat="1" applyBorder="1"/>
    <xf numFmtId="0" fontId="0" fillId="0" borderId="1" xfId="0" applyBorder="1" applyAlignment="1">
      <alignment horizontal="left"/>
    </xf>
    <xf numFmtId="11" fontId="0" fillId="0" borderId="1" xfId="0" applyNumberFormat="1" applyFill="1" applyBorder="1" applyAlignment="1">
      <alignment horizontal="center"/>
    </xf>
    <xf numFmtId="0" fontId="0" fillId="0" borderId="1" xfId="0" applyFont="1" applyBorder="1" applyAlignment="1"/>
    <xf numFmtId="164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5" xfId="0" applyFont="1" applyFill="1" applyBorder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3B65D-7EBA-4158-848E-48E37BA8AC0B}">
  <dimension ref="A1:K9"/>
  <sheetViews>
    <sheetView zoomScale="160" zoomScaleNormal="160" workbookViewId="0">
      <selection activeCell="B22" sqref="B22"/>
    </sheetView>
  </sheetViews>
  <sheetFormatPr defaultColWidth="8.85546875" defaultRowHeight="15" x14ac:dyDescent="0.25"/>
  <cols>
    <col min="1" max="1" width="3" bestFit="1" customWidth="1"/>
    <col min="2" max="2" width="19.42578125" bestFit="1" customWidth="1"/>
    <col min="3" max="3" width="6.5703125" bestFit="1" customWidth="1"/>
    <col min="4" max="4" width="9" bestFit="1" customWidth="1"/>
    <col min="5" max="5" width="7.85546875" bestFit="1" customWidth="1"/>
    <col min="6" max="6" width="9.7109375" bestFit="1" customWidth="1"/>
    <col min="7" max="7" width="13.5703125" bestFit="1" customWidth="1"/>
    <col min="8" max="8" width="15.7109375" bestFit="1" customWidth="1"/>
    <col min="9" max="10" width="5.7109375" bestFit="1" customWidth="1"/>
    <col min="11" max="11" width="6.7109375" bestFit="1" customWidth="1"/>
  </cols>
  <sheetData>
    <row r="1" spans="1:11" x14ac:dyDescent="0.25">
      <c r="B1" s="2" t="s">
        <v>2</v>
      </c>
      <c r="C1" s="1" t="s">
        <v>12</v>
      </c>
      <c r="D1" s="1" t="s">
        <v>4</v>
      </c>
      <c r="E1" s="1" t="s">
        <v>5</v>
      </c>
      <c r="F1" s="1" t="s">
        <v>0</v>
      </c>
      <c r="G1" s="1" t="s">
        <v>11</v>
      </c>
      <c r="H1" s="1" t="s">
        <v>3</v>
      </c>
      <c r="I1" s="1" t="s">
        <v>1</v>
      </c>
      <c r="J1" s="23" t="s">
        <v>46</v>
      </c>
      <c r="K1" s="23" t="s">
        <v>47</v>
      </c>
    </row>
    <row r="2" spans="1:11" x14ac:dyDescent="0.25">
      <c r="A2" s="3">
        <v>0</v>
      </c>
      <c r="B2" s="4" t="s">
        <v>6</v>
      </c>
      <c r="C2" s="5">
        <f>economics!C3+economics!D3</f>
        <v>0.16811582858101309</v>
      </c>
      <c r="D2" s="5">
        <f>economics!E3+economics!F3</f>
        <v>0</v>
      </c>
      <c r="E2" s="5">
        <f>economics!G3+economics!H3</f>
        <v>0</v>
      </c>
      <c r="F2" s="5">
        <f>economics!I3+economics!J3</f>
        <v>1.009963159703704</v>
      </c>
      <c r="G2" s="5">
        <f>economics!K3+economics!L3</f>
        <v>6.0440575999999992E-4</v>
      </c>
      <c r="H2" s="5">
        <v>0</v>
      </c>
      <c r="I2" s="5">
        <f t="shared" ref="I2:I9" si="0">SUM(C2:H2)</f>
        <v>1.1786833940447172</v>
      </c>
      <c r="J2" s="14">
        <f>economics!N3</f>
        <v>0.86219297179340504</v>
      </c>
      <c r="K2" s="14">
        <f>economics!O3</f>
        <v>1.8654837893437015</v>
      </c>
    </row>
    <row r="3" spans="1:11" x14ac:dyDescent="0.25">
      <c r="A3" s="3">
        <f>A2+1</f>
        <v>1</v>
      </c>
      <c r="B3" s="4" t="s">
        <v>43</v>
      </c>
      <c r="C3" s="5">
        <f>economics!C4+economics!D4</f>
        <v>0</v>
      </c>
      <c r="D3" s="5">
        <f>economics!E4+economics!F4</f>
        <v>1.6333086024431402</v>
      </c>
      <c r="E3" s="5">
        <f>economics!G4+economics!H4</f>
        <v>9.4293333333333326E-2</v>
      </c>
      <c r="F3" s="5">
        <f>economics!I4+economics!J4</f>
        <v>0.30832146962962964</v>
      </c>
      <c r="G3" s="5">
        <f>economics!K4+economics!L4</f>
        <v>1.4990222222222219E-4</v>
      </c>
      <c r="H3" s="5">
        <v>0</v>
      </c>
      <c r="I3" s="5">
        <f t="shared" si="0"/>
        <v>2.0360733076283255</v>
      </c>
      <c r="J3" s="14">
        <f>economics!N4</f>
        <v>1.4222337254320987</v>
      </c>
      <c r="K3" s="14">
        <f>economics!O4</f>
        <v>2.8456016893827161</v>
      </c>
    </row>
    <row r="4" spans="1:11" x14ac:dyDescent="0.25">
      <c r="A4" s="3">
        <f t="shared" ref="A4:A9" si="1">A3+1</f>
        <v>2</v>
      </c>
      <c r="B4" s="4" t="s">
        <v>41</v>
      </c>
      <c r="C4" s="5">
        <f>economics!C5+economics!D5</f>
        <v>0</v>
      </c>
      <c r="D4" s="5">
        <f>economics!E5+economics!F5</f>
        <v>0.56909707402200005</v>
      </c>
      <c r="E4" s="5">
        <f>economics!G5+economics!H5</f>
        <v>8.3816296296296292E-2</v>
      </c>
      <c r="F4" s="5">
        <f>economics!I5+economics!J5</f>
        <v>1.1311976296296296</v>
      </c>
      <c r="G4" s="5">
        <f>economics!K5+economics!L5</f>
        <v>2.901333333333333E-4</v>
      </c>
      <c r="H4" s="5">
        <v>0</v>
      </c>
      <c r="I4" s="5">
        <f t="shared" si="0"/>
        <v>1.7844011332812593</v>
      </c>
      <c r="J4" s="14">
        <f>economics!N5</f>
        <v>1.2851589728395061</v>
      </c>
      <c r="K4" s="14">
        <f>economics!O5</f>
        <v>2.6960255901234569</v>
      </c>
    </row>
    <row r="5" spans="1:11" x14ac:dyDescent="0.25">
      <c r="A5" s="3">
        <f t="shared" si="1"/>
        <v>3</v>
      </c>
      <c r="B5" s="4" t="s">
        <v>42</v>
      </c>
      <c r="C5" s="5">
        <f>economics!C6+economics!D6</f>
        <v>0</v>
      </c>
      <c r="D5" s="5">
        <f>economics!E6+economics!F6</f>
        <v>0.42113183477628002</v>
      </c>
      <c r="E5" s="5">
        <f>economics!G6+economics!H6</f>
        <v>0</v>
      </c>
      <c r="F5" s="5">
        <f>economics!I6+economics!J6</f>
        <v>1.1826157037037037</v>
      </c>
      <c r="G5" s="5">
        <f>economics!K6+economics!L6</f>
        <v>0</v>
      </c>
      <c r="H5" s="5">
        <v>0</v>
      </c>
      <c r="I5" s="5">
        <f t="shared" si="0"/>
        <v>1.6037475384799837</v>
      </c>
      <c r="J5" s="14">
        <f>economics!N6</f>
        <v>1.1379969679012345</v>
      </c>
      <c r="K5" s="14">
        <f>economics!O6</f>
        <v>2.4908303950617285</v>
      </c>
    </row>
    <row r="6" spans="1:11" x14ac:dyDescent="0.25">
      <c r="A6" s="3">
        <f t="shared" si="1"/>
        <v>4</v>
      </c>
      <c r="B6" s="4" t="s">
        <v>6</v>
      </c>
      <c r="C6" s="5">
        <f>economics!C9+economics!D9</f>
        <v>0.54210581896551735</v>
      </c>
      <c r="D6" s="5">
        <f>economics!E9+economics!F9</f>
        <v>0</v>
      </c>
      <c r="E6" s="5">
        <f>economics!G9+economics!H9</f>
        <v>0</v>
      </c>
      <c r="F6" s="5">
        <f>economics!I9+economics!J9</f>
        <v>1.009963159703704</v>
      </c>
      <c r="G6" s="5">
        <f>economics!K9+economics!L9</f>
        <v>6.0440575999999992E-4</v>
      </c>
      <c r="H6" s="5">
        <v>0</v>
      </c>
      <c r="I6" s="5">
        <f t="shared" si="0"/>
        <v>1.5526733844292215</v>
      </c>
      <c r="J6" s="14">
        <f>economics!N9</f>
        <v>0.96347898359226913</v>
      </c>
      <c r="K6" s="14">
        <f>economics!O9</f>
        <v>2.4814243648217289</v>
      </c>
    </row>
    <row r="7" spans="1:11" x14ac:dyDescent="0.25">
      <c r="A7" s="3">
        <f t="shared" si="1"/>
        <v>5</v>
      </c>
      <c r="B7" s="4" t="s">
        <v>43</v>
      </c>
      <c r="C7" s="5">
        <f>economics!C10+economics!D10</f>
        <v>0</v>
      </c>
      <c r="D7" s="5">
        <f>economics!E10+economics!F10</f>
        <v>8.5419980409258631</v>
      </c>
      <c r="E7" s="5">
        <f>economics!G10+economics!H10</f>
        <v>9.4293333333333326E-2</v>
      </c>
      <c r="F7" s="5">
        <f>economics!I10+economics!J10</f>
        <v>0.30832146962962964</v>
      </c>
      <c r="G7" s="5">
        <f>economics!K10+economics!L10</f>
        <v>1.4990222222222219E-4</v>
      </c>
      <c r="H7" s="5">
        <v>0</v>
      </c>
      <c r="I7" s="5">
        <f t="shared" si="0"/>
        <v>8.9447627461110475</v>
      </c>
      <c r="J7" s="14">
        <f>economics!N10</f>
        <v>6.3888472292227725</v>
      </c>
      <c r="K7" s="14">
        <f>economics!O10</f>
        <v>11.501422428396468</v>
      </c>
    </row>
    <row r="8" spans="1:11" x14ac:dyDescent="0.25">
      <c r="A8" s="3">
        <f t="shared" si="1"/>
        <v>6</v>
      </c>
      <c r="B8" s="4" t="s">
        <v>41</v>
      </c>
      <c r="C8" s="5">
        <f>economics!C11+economics!D11</f>
        <v>0</v>
      </c>
      <c r="D8" s="5">
        <f>economics!E11+economics!F11</f>
        <v>2.9763059376048302</v>
      </c>
      <c r="E8" s="5">
        <f>economics!G11+economics!H11</f>
        <v>8.3816296296296292E-2</v>
      </c>
      <c r="F8" s="5">
        <f>economics!I11+economics!J11</f>
        <v>1.1311976296296296</v>
      </c>
      <c r="G8" s="5">
        <f>economics!K11+economics!L11</f>
        <v>2.901333333333333E-4</v>
      </c>
      <c r="H8" s="5">
        <v>0</v>
      </c>
      <c r="I8" s="5">
        <f t="shared" si="0"/>
        <v>4.1916099968640896</v>
      </c>
      <c r="J8" s="14">
        <f>economics!N11</f>
        <v>3.0156863260766746</v>
      </c>
      <c r="K8" s="14">
        <f>economics!O11</f>
        <v>5.7119910044139628</v>
      </c>
    </row>
    <row r="9" spans="1:11" x14ac:dyDescent="0.25">
      <c r="A9" s="3">
        <f t="shared" si="1"/>
        <v>7</v>
      </c>
      <c r="B9" s="4" t="s">
        <v>42</v>
      </c>
      <c r="C9" s="5">
        <f>economics!C12+economics!D12</f>
        <v>0</v>
      </c>
      <c r="D9" s="5">
        <f>economics!E12+economics!F12</f>
        <v>2.2024663938275744</v>
      </c>
      <c r="E9" s="5">
        <f>economics!G12+economics!H12</f>
        <v>0</v>
      </c>
      <c r="F9" s="5">
        <f>economics!I12+economics!J12</f>
        <v>1.1826157037037037</v>
      </c>
      <c r="G9" s="5">
        <f>economics!K12+economics!L12</f>
        <v>0</v>
      </c>
      <c r="H9" s="5">
        <v>0</v>
      </c>
      <c r="I9" s="5">
        <f t="shared" si="0"/>
        <v>3.3850820975312779</v>
      </c>
      <c r="J9" s="14">
        <f>economics!N12</f>
        <v>2.4185872092967391</v>
      </c>
      <c r="K9" s="14">
        <f>economics!O12</f>
        <v>4.7226448016367026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8E85E-D4E0-4680-A11A-BD38F3008B22}">
  <dimension ref="A1:I11"/>
  <sheetViews>
    <sheetView zoomScale="160" zoomScaleNormal="160" workbookViewId="0">
      <selection activeCell="A8" sqref="A8"/>
    </sheetView>
  </sheetViews>
  <sheetFormatPr defaultColWidth="8.85546875" defaultRowHeight="15" x14ac:dyDescent="0.25"/>
  <cols>
    <col min="1" max="1" width="3" bestFit="1" customWidth="1"/>
    <col min="2" max="2" width="19.42578125" bestFit="1" customWidth="1"/>
    <col min="3" max="3" width="6.5703125" bestFit="1" customWidth="1"/>
    <col min="4" max="4" width="9" bestFit="1" customWidth="1"/>
    <col min="5" max="5" width="7.85546875" bestFit="1" customWidth="1"/>
    <col min="6" max="6" width="9.7109375" bestFit="1" customWidth="1"/>
    <col min="7" max="7" width="13.5703125" bestFit="1" customWidth="1"/>
    <col min="8" max="8" width="15.7109375" bestFit="1" customWidth="1"/>
    <col min="9" max="9" width="6.7109375" bestFit="1" customWidth="1"/>
  </cols>
  <sheetData>
    <row r="1" spans="1:9" x14ac:dyDescent="0.25">
      <c r="A1" s="2"/>
      <c r="B1" s="2" t="s">
        <v>2</v>
      </c>
      <c r="C1" s="1" t="s">
        <v>12</v>
      </c>
      <c r="D1" s="1" t="s">
        <v>4</v>
      </c>
      <c r="E1" s="1" t="s">
        <v>5</v>
      </c>
      <c r="F1" s="1" t="s">
        <v>0</v>
      </c>
      <c r="G1" s="1" t="s">
        <v>11</v>
      </c>
      <c r="H1" s="1" t="s">
        <v>3</v>
      </c>
      <c r="I1" s="1" t="s">
        <v>1</v>
      </c>
    </row>
    <row r="2" spans="1:9" x14ac:dyDescent="0.25">
      <c r="A2" s="15" t="s">
        <v>44</v>
      </c>
      <c r="B2" s="16"/>
      <c r="C2" s="16"/>
      <c r="D2" s="16"/>
      <c r="E2" s="16"/>
      <c r="F2" s="16"/>
      <c r="G2" s="16"/>
      <c r="H2" s="16"/>
      <c r="I2" s="17"/>
    </row>
    <row r="3" spans="1:9" x14ac:dyDescent="0.25">
      <c r="A3" s="3">
        <v>0</v>
      </c>
      <c r="B3" s="4" t="s">
        <v>6</v>
      </c>
      <c r="C3" s="5">
        <f>economics!C3+economics!D3</f>
        <v>0.16811582858101309</v>
      </c>
      <c r="D3" s="5">
        <f>economics!E3+economics!F3</f>
        <v>0</v>
      </c>
      <c r="E3" s="5">
        <f>economics!G3+economics!H3</f>
        <v>0</v>
      </c>
      <c r="F3" s="5">
        <f>economics!I3+economics!J3</f>
        <v>1.009963159703704</v>
      </c>
      <c r="G3" s="5">
        <f>economics!K3+economics!L3</f>
        <v>6.0440575999999992E-4</v>
      </c>
      <c r="H3" s="5">
        <v>0</v>
      </c>
      <c r="I3" s="5">
        <f t="shared" ref="I3:I11" si="0">SUM(C3:H3)</f>
        <v>1.1786833940447172</v>
      </c>
    </row>
    <row r="4" spans="1:9" x14ac:dyDescent="0.25">
      <c r="A4" s="3">
        <f>A3+1</f>
        <v>1</v>
      </c>
      <c r="B4" s="4" t="s">
        <v>43</v>
      </c>
      <c r="C4" s="5">
        <f>economics!C4+economics!D4</f>
        <v>0</v>
      </c>
      <c r="D4" s="5">
        <f>economics!E4+economics!F4</f>
        <v>1.6333086024431402</v>
      </c>
      <c r="E4" s="5">
        <f>economics!G4+economics!H4</f>
        <v>9.4293333333333326E-2</v>
      </c>
      <c r="F4" s="5">
        <f>economics!I4+economics!J4</f>
        <v>0.30832146962962964</v>
      </c>
      <c r="G4" s="5">
        <f>economics!K4+economics!L4</f>
        <v>1.4990222222222219E-4</v>
      </c>
      <c r="H4" s="5">
        <v>0</v>
      </c>
      <c r="I4" s="5">
        <f t="shared" si="0"/>
        <v>2.0360733076283255</v>
      </c>
    </row>
    <row r="5" spans="1:9" x14ac:dyDescent="0.25">
      <c r="A5" s="3">
        <f t="shared" ref="A5:A11" si="1">A4+1</f>
        <v>2</v>
      </c>
      <c r="B5" s="4" t="s">
        <v>41</v>
      </c>
      <c r="C5" s="5">
        <f>economics!C5+economics!D5</f>
        <v>0</v>
      </c>
      <c r="D5" s="5">
        <f>economics!E5+economics!F5</f>
        <v>0.56909707402200005</v>
      </c>
      <c r="E5" s="5">
        <f>economics!G5+economics!H5</f>
        <v>8.3816296296296292E-2</v>
      </c>
      <c r="F5" s="5">
        <f>economics!I5+economics!J5</f>
        <v>1.1311976296296296</v>
      </c>
      <c r="G5" s="5">
        <f>economics!K5+economics!L5</f>
        <v>2.901333333333333E-4</v>
      </c>
      <c r="H5" s="5">
        <v>0</v>
      </c>
      <c r="I5" s="5">
        <f t="shared" si="0"/>
        <v>1.7844011332812593</v>
      </c>
    </row>
    <row r="6" spans="1:9" x14ac:dyDescent="0.25">
      <c r="A6" s="3">
        <f t="shared" si="1"/>
        <v>3</v>
      </c>
      <c r="B6" s="4" t="s">
        <v>42</v>
      </c>
      <c r="C6" s="5">
        <f>economics!C6+economics!D6</f>
        <v>0</v>
      </c>
      <c r="D6" s="5">
        <f>economics!E6+economics!F6</f>
        <v>0.42113183477628002</v>
      </c>
      <c r="E6" s="5">
        <f>economics!G6+economics!H6</f>
        <v>0</v>
      </c>
      <c r="F6" s="5">
        <f>economics!I6+economics!J6</f>
        <v>1.1826157037037037</v>
      </c>
      <c r="G6" s="5">
        <f>economics!K6+economics!L6</f>
        <v>0</v>
      </c>
      <c r="H6" s="5">
        <v>0</v>
      </c>
      <c r="I6" s="5">
        <f t="shared" si="0"/>
        <v>1.6037475384799837</v>
      </c>
    </row>
    <row r="7" spans="1:9" x14ac:dyDescent="0.25">
      <c r="A7" s="15" t="s">
        <v>45</v>
      </c>
      <c r="B7" s="16"/>
      <c r="C7" s="16"/>
      <c r="D7" s="16"/>
      <c r="E7" s="16"/>
      <c r="F7" s="16"/>
      <c r="G7" s="16"/>
      <c r="H7" s="16"/>
      <c r="I7" s="17"/>
    </row>
    <row r="8" spans="1:9" x14ac:dyDescent="0.25">
      <c r="A8" s="3">
        <f>A6+1</f>
        <v>4</v>
      </c>
      <c r="B8" s="4" t="s">
        <v>6</v>
      </c>
      <c r="C8" s="5">
        <f>economics!C9+economics!D9</f>
        <v>0.54210581896551735</v>
      </c>
      <c r="D8" s="5">
        <f>economics!E9+economics!F9</f>
        <v>0</v>
      </c>
      <c r="E8" s="5">
        <f>economics!G9+economics!H9</f>
        <v>0</v>
      </c>
      <c r="F8" s="5">
        <f>economics!I9+economics!J9</f>
        <v>1.009963159703704</v>
      </c>
      <c r="G8" s="5">
        <f>economics!K9+economics!L9</f>
        <v>6.0440575999999992E-4</v>
      </c>
      <c r="H8" s="5">
        <v>0</v>
      </c>
      <c r="I8" s="5">
        <f t="shared" si="0"/>
        <v>1.5526733844292215</v>
      </c>
    </row>
    <row r="9" spans="1:9" x14ac:dyDescent="0.25">
      <c r="A9" s="3">
        <f t="shared" si="1"/>
        <v>5</v>
      </c>
      <c r="B9" s="4" t="s">
        <v>43</v>
      </c>
      <c r="C9" s="5">
        <f>economics!C10+economics!D10</f>
        <v>0</v>
      </c>
      <c r="D9" s="5">
        <f>economics!E10+economics!F10</f>
        <v>8.5419980409258631</v>
      </c>
      <c r="E9" s="5">
        <f>economics!G10+economics!H10</f>
        <v>9.4293333333333326E-2</v>
      </c>
      <c r="F9" s="5">
        <f>economics!I10+economics!J10</f>
        <v>0.30832146962962964</v>
      </c>
      <c r="G9" s="5">
        <f>economics!K10+economics!L10</f>
        <v>1.4990222222222219E-4</v>
      </c>
      <c r="H9" s="5">
        <v>0</v>
      </c>
      <c r="I9" s="5">
        <f t="shared" si="0"/>
        <v>8.9447627461110475</v>
      </c>
    </row>
    <row r="10" spans="1:9" x14ac:dyDescent="0.25">
      <c r="A10" s="3">
        <f t="shared" si="1"/>
        <v>6</v>
      </c>
      <c r="B10" s="4" t="s">
        <v>41</v>
      </c>
      <c r="C10" s="5">
        <f>economics!C11+economics!D11</f>
        <v>0</v>
      </c>
      <c r="D10" s="5">
        <f>economics!E11+economics!F11</f>
        <v>2.9763059376048302</v>
      </c>
      <c r="E10" s="5">
        <f>economics!G11+economics!H11</f>
        <v>8.3816296296296292E-2</v>
      </c>
      <c r="F10" s="5">
        <f>economics!I11+economics!J11</f>
        <v>1.1311976296296296</v>
      </c>
      <c r="G10" s="5">
        <f>economics!K11+economics!L11</f>
        <v>2.901333333333333E-4</v>
      </c>
      <c r="H10" s="5">
        <v>0</v>
      </c>
      <c r="I10" s="5">
        <f t="shared" si="0"/>
        <v>4.1916099968640896</v>
      </c>
    </row>
    <row r="11" spans="1:9" x14ac:dyDescent="0.25">
      <c r="A11" s="3">
        <f t="shared" si="1"/>
        <v>7</v>
      </c>
      <c r="B11" s="4" t="s">
        <v>42</v>
      </c>
      <c r="C11" s="5">
        <f>economics!C12+economics!D12</f>
        <v>0</v>
      </c>
      <c r="D11" s="5">
        <f>economics!E12+economics!F12</f>
        <v>2.2024663938275744</v>
      </c>
      <c r="E11" s="5">
        <f>economics!G12+economics!H12</f>
        <v>0</v>
      </c>
      <c r="F11" s="5">
        <f>economics!I12+economics!J12</f>
        <v>1.1826157037037037</v>
      </c>
      <c r="G11" s="5">
        <f>economics!K12+economics!L12</f>
        <v>0</v>
      </c>
      <c r="H11" s="5">
        <v>0</v>
      </c>
      <c r="I11" s="5">
        <f t="shared" si="0"/>
        <v>3.3850820975312779</v>
      </c>
    </row>
  </sheetData>
  <mergeCells count="2">
    <mergeCell ref="A2:I2"/>
    <mergeCell ref="A7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375F-F448-4307-A0F6-7026BDCF391D}">
  <dimension ref="A1:I16"/>
  <sheetViews>
    <sheetView zoomScale="145" zoomScaleNormal="145" workbookViewId="0">
      <selection activeCell="K12" sqref="K12"/>
    </sheetView>
  </sheetViews>
  <sheetFormatPr defaultColWidth="8.85546875" defaultRowHeight="15" x14ac:dyDescent="0.25"/>
  <cols>
    <col min="1" max="1" width="3" bestFit="1" customWidth="1"/>
    <col min="2" max="2" width="16.7109375" bestFit="1" customWidth="1"/>
    <col min="3" max="3" width="6.5703125" bestFit="1" customWidth="1"/>
    <col min="4" max="4" width="9" bestFit="1" customWidth="1"/>
    <col min="5" max="5" width="7.85546875" bestFit="1" customWidth="1"/>
    <col min="6" max="6" width="9.7109375" bestFit="1" customWidth="1"/>
    <col min="7" max="7" width="13.5703125" bestFit="1" customWidth="1"/>
    <col min="8" max="8" width="15.7109375" bestFit="1" customWidth="1"/>
    <col min="9" max="9" width="6.7109375" bestFit="1" customWidth="1"/>
  </cols>
  <sheetData>
    <row r="1" spans="1:9" x14ac:dyDescent="0.25">
      <c r="B1" s="2" t="s">
        <v>2</v>
      </c>
      <c r="C1" s="1" t="s">
        <v>12</v>
      </c>
      <c r="D1" s="1" t="s">
        <v>4</v>
      </c>
      <c r="E1" s="1" t="s">
        <v>5</v>
      </c>
      <c r="F1" s="1" t="s">
        <v>0</v>
      </c>
      <c r="G1" s="1" t="s">
        <v>11</v>
      </c>
      <c r="H1" s="1" t="s">
        <v>3</v>
      </c>
      <c r="I1" s="1" t="s">
        <v>1</v>
      </c>
    </row>
    <row r="2" spans="1:9" x14ac:dyDescent="0.25">
      <c r="A2" s="3">
        <v>0</v>
      </c>
      <c r="B2" s="4" t="s">
        <v>6</v>
      </c>
      <c r="C2" s="5">
        <f>economics!C3+economics!D3</f>
        <v>0.16811582858101309</v>
      </c>
      <c r="D2" s="5">
        <f>economics!E3+economics!F3</f>
        <v>0</v>
      </c>
      <c r="E2" s="5">
        <f>economics!G3+economics!H3</f>
        <v>0</v>
      </c>
      <c r="F2" s="5">
        <f>economics!I3+economics!J3</f>
        <v>1.009963159703704</v>
      </c>
      <c r="G2" s="5">
        <f>economics!K3+economics!L3</f>
        <v>6.0440575999999992E-4</v>
      </c>
      <c r="H2" s="5">
        <v>0</v>
      </c>
      <c r="I2" s="5">
        <f t="shared" ref="I2:I11" si="0">SUM(C2:H2)</f>
        <v>1.1786833940447172</v>
      </c>
    </row>
    <row r="3" spans="1:9" x14ac:dyDescent="0.25">
      <c r="A3" s="3">
        <f>A2+1</f>
        <v>1</v>
      </c>
      <c r="B3" s="4" t="s">
        <v>7</v>
      </c>
      <c r="C3" s="5">
        <f>economics!C4+economics!D4</f>
        <v>0</v>
      </c>
      <c r="D3" s="5">
        <f>economics!E4+economics!F4</f>
        <v>1.6333086024431402</v>
      </c>
      <c r="E3" s="5">
        <f>economics!G4+economics!H4</f>
        <v>9.4293333333333326E-2</v>
      </c>
      <c r="F3" s="5">
        <f>economics!I4+economics!J4</f>
        <v>0.30832146962962964</v>
      </c>
      <c r="G3" s="5">
        <f>economics!K4+economics!L4</f>
        <v>1.4990222222222219E-4</v>
      </c>
      <c r="H3" s="5">
        <v>0</v>
      </c>
      <c r="I3" s="5">
        <f t="shared" si="0"/>
        <v>2.0360733076283255</v>
      </c>
    </row>
    <row r="4" spans="1:9" x14ac:dyDescent="0.25">
      <c r="A4" s="3">
        <f t="shared" ref="A4:A16" si="1">A3+1</f>
        <v>2</v>
      </c>
      <c r="B4" s="4" t="s">
        <v>8</v>
      </c>
      <c r="C4" s="5">
        <f>economics!C5+economics!D5</f>
        <v>0</v>
      </c>
      <c r="D4" s="5">
        <f>economics!E5+economics!F5</f>
        <v>0.56909707402200005</v>
      </c>
      <c r="E4" s="5">
        <f>economics!G5+economics!H5</f>
        <v>8.3816296296296292E-2</v>
      </c>
      <c r="F4" s="5">
        <f>economics!I5+economics!J5</f>
        <v>1.1311976296296296</v>
      </c>
      <c r="G4" s="5">
        <f>economics!K5+economics!L5</f>
        <v>2.901333333333333E-4</v>
      </c>
      <c r="H4" s="5">
        <v>0</v>
      </c>
      <c r="I4" s="5">
        <f t="shared" si="0"/>
        <v>1.7844011332812593</v>
      </c>
    </row>
    <row r="5" spans="1:9" x14ac:dyDescent="0.25">
      <c r="A5" s="3">
        <f t="shared" si="1"/>
        <v>3</v>
      </c>
      <c r="B5" s="4" t="s">
        <v>9</v>
      </c>
      <c r="C5" s="5">
        <f>economics!C6+economics!D6</f>
        <v>0</v>
      </c>
      <c r="D5" s="5">
        <f>economics!E6+economics!F6</f>
        <v>0.42113183477628002</v>
      </c>
      <c r="E5" s="5">
        <f>economics!G6+economics!H6</f>
        <v>0</v>
      </c>
      <c r="F5" s="5">
        <f>economics!I6+economics!J6</f>
        <v>1.1826157037037037</v>
      </c>
      <c r="G5" s="5">
        <f>economics!K6+economics!L6</f>
        <v>0</v>
      </c>
      <c r="H5" s="5">
        <v>0</v>
      </c>
      <c r="I5" s="5">
        <f t="shared" si="0"/>
        <v>1.6037475384799837</v>
      </c>
    </row>
    <row r="6" spans="1:9" x14ac:dyDescent="0.25">
      <c r="A6" s="3">
        <f t="shared" si="1"/>
        <v>4</v>
      </c>
      <c r="B6" s="4" t="s">
        <v>10</v>
      </c>
      <c r="C6" s="5">
        <f>economics!C7+economics!D7</f>
        <v>0</v>
      </c>
      <c r="D6" s="5">
        <f>economics!E7+economics!F7</f>
        <v>0.38357142789082804</v>
      </c>
      <c r="E6" s="5">
        <f>economics!G7+economics!H7</f>
        <v>9.6607551068851411E-2</v>
      </c>
      <c r="F6" s="5">
        <f>economics!I7+economics!J7</f>
        <v>0</v>
      </c>
      <c r="G6" s="5">
        <f>economics!K7+economics!L7</f>
        <v>0</v>
      </c>
      <c r="H6" s="5">
        <v>0</v>
      </c>
      <c r="I6" s="5">
        <f t="shared" si="0"/>
        <v>0.48017897895967943</v>
      </c>
    </row>
    <row r="7" spans="1:9" x14ac:dyDescent="0.25">
      <c r="A7" s="3">
        <f t="shared" si="1"/>
        <v>5</v>
      </c>
      <c r="B7" s="4" t="s">
        <v>6</v>
      </c>
      <c r="C7" s="5">
        <f>economics!C9+economics!D9</f>
        <v>0.54210581896551735</v>
      </c>
      <c r="D7" s="5">
        <f>economics!E9+economics!F9</f>
        <v>0</v>
      </c>
      <c r="E7" s="5">
        <f>economics!G9+economics!H9</f>
        <v>0</v>
      </c>
      <c r="F7" s="5">
        <f>economics!I9+economics!J9</f>
        <v>1.009963159703704</v>
      </c>
      <c r="G7" s="5">
        <f>economics!K9+economics!L9</f>
        <v>6.0440575999999992E-4</v>
      </c>
      <c r="H7" s="5">
        <v>0</v>
      </c>
      <c r="I7" s="5">
        <f t="shared" si="0"/>
        <v>1.5526733844292215</v>
      </c>
    </row>
    <row r="8" spans="1:9" x14ac:dyDescent="0.25">
      <c r="A8" s="3">
        <f t="shared" si="1"/>
        <v>6</v>
      </c>
      <c r="B8" s="4" t="s">
        <v>7</v>
      </c>
      <c r="C8" s="5">
        <f>economics!C10+economics!D10</f>
        <v>0</v>
      </c>
      <c r="D8" s="5">
        <f>economics!E10+economics!F10</f>
        <v>8.5419980409258631</v>
      </c>
      <c r="E8" s="5">
        <f>economics!G10+economics!H10</f>
        <v>9.4293333333333326E-2</v>
      </c>
      <c r="F8" s="5">
        <f>economics!I10+economics!J10</f>
        <v>0.30832146962962964</v>
      </c>
      <c r="G8" s="5">
        <f>economics!K10+economics!L10</f>
        <v>1.4990222222222219E-4</v>
      </c>
      <c r="H8" s="5">
        <v>0</v>
      </c>
      <c r="I8" s="5">
        <f t="shared" si="0"/>
        <v>8.9447627461110475</v>
      </c>
    </row>
    <row r="9" spans="1:9" x14ac:dyDescent="0.25">
      <c r="A9" s="3">
        <f t="shared" si="1"/>
        <v>7</v>
      </c>
      <c r="B9" s="4" t="s">
        <v>8</v>
      </c>
      <c r="C9" s="5">
        <f>economics!C11+economics!D11</f>
        <v>0</v>
      </c>
      <c r="D9" s="5">
        <f>economics!E11+economics!F11</f>
        <v>2.9763059376048302</v>
      </c>
      <c r="E9" s="5">
        <f>economics!G11+economics!H11</f>
        <v>8.3816296296296292E-2</v>
      </c>
      <c r="F9" s="5">
        <f>economics!I11+economics!J11</f>
        <v>1.1311976296296296</v>
      </c>
      <c r="G9" s="5">
        <f>economics!K11+economics!L11</f>
        <v>2.901333333333333E-4</v>
      </c>
      <c r="H9" s="5">
        <v>0</v>
      </c>
      <c r="I9" s="5">
        <f t="shared" si="0"/>
        <v>4.1916099968640896</v>
      </c>
    </row>
    <row r="10" spans="1:9" x14ac:dyDescent="0.25">
      <c r="A10" s="3">
        <f t="shared" si="1"/>
        <v>8</v>
      </c>
      <c r="B10" s="4" t="s">
        <v>9</v>
      </c>
      <c r="C10" s="5">
        <f>economics!C12+economics!D12</f>
        <v>0</v>
      </c>
      <c r="D10" s="5">
        <f>economics!E12+economics!F12</f>
        <v>2.2024663938275744</v>
      </c>
      <c r="E10" s="5">
        <f>economics!G12+economics!H12</f>
        <v>0</v>
      </c>
      <c r="F10" s="5">
        <f>economics!I12+economics!J12</f>
        <v>1.1826157037037037</v>
      </c>
      <c r="G10" s="5">
        <f>economics!K12+economics!L12</f>
        <v>0</v>
      </c>
      <c r="H10" s="5">
        <v>0</v>
      </c>
      <c r="I10" s="5">
        <f t="shared" si="0"/>
        <v>3.3850820975312779</v>
      </c>
    </row>
    <row r="11" spans="1:9" x14ac:dyDescent="0.25">
      <c r="A11" s="3">
        <f t="shared" si="1"/>
        <v>9</v>
      </c>
      <c r="B11" s="4" t="s">
        <v>10</v>
      </c>
      <c r="C11" s="5">
        <f>economics!C13+economics!D13</f>
        <v>0</v>
      </c>
      <c r="D11" s="5">
        <f>economics!E13+economics!F13</f>
        <v>2.0060302019456557</v>
      </c>
      <c r="E11" s="5">
        <f>economics!G13+economics!H13</f>
        <v>9.6607551068851411E-2</v>
      </c>
      <c r="F11" s="5">
        <f>economics!I13+economics!J13</f>
        <v>0</v>
      </c>
      <c r="G11" s="5">
        <f>economics!K13+economics!L13</f>
        <v>0</v>
      </c>
      <c r="H11" s="5">
        <v>0</v>
      </c>
      <c r="I11" s="5">
        <f t="shared" si="0"/>
        <v>2.1026377530145073</v>
      </c>
    </row>
    <row r="12" spans="1:9" x14ac:dyDescent="0.25">
      <c r="A12" s="3">
        <f t="shared" si="1"/>
        <v>10</v>
      </c>
      <c r="B12" s="4" t="s">
        <v>6</v>
      </c>
      <c r="C12" s="5">
        <f>economics!C15+economics!D15</f>
        <v>0.54210581896551735</v>
      </c>
      <c r="D12" s="5">
        <f>economics!E15+economics!F15</f>
        <v>0</v>
      </c>
      <c r="E12" s="5">
        <f>economics!G15+economics!H15</f>
        <v>0</v>
      </c>
      <c r="F12" s="5">
        <f>economics!I15+economics!J15</f>
        <v>0.81841842251851871</v>
      </c>
      <c r="G12" s="5">
        <f>economics!K15+economics!L15</f>
        <v>6.0440575999999992E-4</v>
      </c>
      <c r="H12" s="5">
        <v>0</v>
      </c>
      <c r="I12" s="5">
        <f t="shared" ref="I12:I16" si="2">SUM(C12:H12)</f>
        <v>1.3611286472440363</v>
      </c>
    </row>
    <row r="13" spans="1:9" x14ac:dyDescent="0.25">
      <c r="A13" s="3">
        <f t="shared" si="1"/>
        <v>11</v>
      </c>
      <c r="B13" s="4" t="s">
        <v>7</v>
      </c>
      <c r="C13" s="5">
        <f>economics!C16+economics!D16</f>
        <v>0</v>
      </c>
      <c r="D13" s="5">
        <f>economics!E16+economics!F16</f>
        <v>8.5419980409258631</v>
      </c>
      <c r="E13" s="5">
        <f>economics!G16+economics!H16</f>
        <v>9.4293333333333326E-2</v>
      </c>
      <c r="F13" s="5">
        <f>economics!I16+economics!J16</f>
        <v>0.24984670814814816</v>
      </c>
      <c r="G13" s="5">
        <f>economics!K16+economics!L16</f>
        <v>1.4990222222222219E-4</v>
      </c>
      <c r="H13" s="5">
        <v>0</v>
      </c>
      <c r="I13" s="5">
        <f t="shared" si="2"/>
        <v>8.8862879846295666</v>
      </c>
    </row>
    <row r="14" spans="1:9" x14ac:dyDescent="0.25">
      <c r="A14" s="3">
        <f t="shared" si="1"/>
        <v>12</v>
      </c>
      <c r="B14" s="4" t="s">
        <v>8</v>
      </c>
      <c r="C14" s="5">
        <f>economics!C17+economics!D17</f>
        <v>0</v>
      </c>
      <c r="D14" s="5">
        <f>economics!E17+economics!F17</f>
        <v>2.9763059376048302</v>
      </c>
      <c r="E14" s="5">
        <f>economics!G17+economics!H17</f>
        <v>8.3816296296296292E-2</v>
      </c>
      <c r="F14" s="5">
        <f>economics!I17+economics!J17</f>
        <v>0.91666014814814811</v>
      </c>
      <c r="G14" s="5">
        <f>economics!K17+economics!L17</f>
        <v>2.901333333333333E-4</v>
      </c>
      <c r="H14" s="5">
        <v>0</v>
      </c>
      <c r="I14" s="5">
        <f t="shared" si="2"/>
        <v>3.9770725153826083</v>
      </c>
    </row>
    <row r="15" spans="1:9" x14ac:dyDescent="0.25">
      <c r="A15" s="3">
        <f t="shared" si="1"/>
        <v>13</v>
      </c>
      <c r="B15" s="4" t="s">
        <v>9</v>
      </c>
      <c r="C15" s="5">
        <f>economics!C18+economics!D18</f>
        <v>0</v>
      </c>
      <c r="D15" s="5">
        <f>economics!E18+economics!F18</f>
        <v>2.2024663938275744</v>
      </c>
      <c r="E15" s="5">
        <f>economics!G18+economics!H18</f>
        <v>0</v>
      </c>
      <c r="F15" s="5">
        <f>economics!I18+economics!J18</f>
        <v>0.95832651851851858</v>
      </c>
      <c r="G15" s="5">
        <f>economics!K18+economics!L18</f>
        <v>0</v>
      </c>
      <c r="H15" s="5">
        <v>0</v>
      </c>
      <c r="I15" s="5">
        <f t="shared" si="2"/>
        <v>3.1607929123460927</v>
      </c>
    </row>
    <row r="16" spans="1:9" x14ac:dyDescent="0.25">
      <c r="A16" s="3">
        <f t="shared" si="1"/>
        <v>14</v>
      </c>
      <c r="B16" s="4" t="s">
        <v>10</v>
      </c>
      <c r="C16" s="5">
        <f>economics!C19+economics!D19</f>
        <v>0</v>
      </c>
      <c r="D16" s="5">
        <f>economics!E19+economics!F19</f>
        <v>2.0060302019456557</v>
      </c>
      <c r="E16" s="5">
        <f>economics!G19+economics!H19</f>
        <v>9.6607551068851411E-2</v>
      </c>
      <c r="F16" s="5">
        <f>economics!I19+economics!J19</f>
        <v>0</v>
      </c>
      <c r="G16" s="5">
        <f>economics!K19+economics!L19</f>
        <v>0</v>
      </c>
      <c r="H16" s="5">
        <v>0</v>
      </c>
      <c r="I16" s="5">
        <f t="shared" si="2"/>
        <v>2.1026377530145073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84B6-81DC-4714-A895-9C249AE53CD9}">
  <dimension ref="A1:L19"/>
  <sheetViews>
    <sheetView zoomScale="130" zoomScaleNormal="130" workbookViewId="0">
      <selection activeCell="E24" sqref="E24"/>
    </sheetView>
  </sheetViews>
  <sheetFormatPr defaultRowHeight="15" x14ac:dyDescent="0.25"/>
  <cols>
    <col min="1" max="1" width="3" bestFit="1" customWidth="1"/>
    <col min="2" max="2" width="16.7109375" bestFit="1" customWidth="1"/>
    <col min="3" max="3" width="9.28515625" bestFit="1" customWidth="1"/>
    <col min="4" max="4" width="11.42578125" bestFit="1" customWidth="1"/>
    <col min="5" max="5" width="13.140625" bestFit="1" customWidth="1"/>
    <col min="6" max="6" width="15.85546875" bestFit="1" customWidth="1"/>
    <col min="7" max="7" width="19" bestFit="1" customWidth="1"/>
    <col min="8" max="8" width="23.85546875" bestFit="1" customWidth="1"/>
    <col min="9" max="9" width="20.42578125" bestFit="1" customWidth="1"/>
    <col min="10" max="10" width="21.5703125" bestFit="1" customWidth="1"/>
    <col min="11" max="11" width="17.42578125" bestFit="1" customWidth="1"/>
    <col min="12" max="12" width="14.28515625" bestFit="1" customWidth="1"/>
  </cols>
  <sheetData>
    <row r="1" spans="1:12" x14ac:dyDescent="0.25">
      <c r="A1" s="2"/>
      <c r="B1" s="6" t="s">
        <v>2</v>
      </c>
      <c r="C1" s="7" t="s">
        <v>13</v>
      </c>
      <c r="D1" s="7" t="s">
        <v>20</v>
      </c>
      <c r="E1" s="7" t="s">
        <v>16</v>
      </c>
      <c r="F1" s="7" t="s">
        <v>24</v>
      </c>
      <c r="G1" s="7" t="s">
        <v>19</v>
      </c>
      <c r="H1" s="7" t="s">
        <v>35</v>
      </c>
      <c r="I1" s="7" t="s">
        <v>17</v>
      </c>
      <c r="J1" s="7" t="s">
        <v>18</v>
      </c>
      <c r="K1" s="7" t="s">
        <v>14</v>
      </c>
      <c r="L1" s="7" t="s">
        <v>15</v>
      </c>
    </row>
    <row r="2" spans="1:12" x14ac:dyDescent="0.25">
      <c r="A2" s="19" t="s">
        <v>21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x14ac:dyDescent="0.25">
      <c r="A3" s="3">
        <v>0</v>
      </c>
      <c r="B3" s="4" t="s">
        <v>6</v>
      </c>
      <c r="C3" s="5">
        <f>3.1*0.645</f>
        <v>1.9995000000000001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f>0.505+3.1*3.322</f>
        <v>10.803200000000002</v>
      </c>
      <c r="J3" s="5">
        <v>0</v>
      </c>
      <c r="K3" s="5">
        <f>3.1*2.032+6.2</f>
        <v>12.4992</v>
      </c>
      <c r="L3" s="5">
        <f>3.1*1.613</f>
        <v>5.0003000000000002</v>
      </c>
    </row>
    <row r="4" spans="1:12" x14ac:dyDescent="0.25">
      <c r="A4" s="3">
        <f>A3+1</f>
        <v>1</v>
      </c>
      <c r="B4" s="4" t="s">
        <v>7</v>
      </c>
      <c r="C4" s="5">
        <v>0</v>
      </c>
      <c r="D4" s="5">
        <v>0</v>
      </c>
      <c r="E4" s="5">
        <v>5.74</v>
      </c>
      <c r="F4" s="5">
        <v>0</v>
      </c>
      <c r="G4" s="5">
        <v>4.5</v>
      </c>
      <c r="H4" s="5">
        <v>0</v>
      </c>
      <c r="I4" s="5">
        <v>3.298</v>
      </c>
      <c r="J4" s="5">
        <v>0</v>
      </c>
      <c r="K4" s="5">
        <v>3.1</v>
      </c>
      <c r="L4" s="5">
        <v>0</v>
      </c>
    </row>
    <row r="5" spans="1:12" x14ac:dyDescent="0.25">
      <c r="A5" s="3">
        <f t="shared" ref="A5:A19" si="0">A4+1</f>
        <v>2</v>
      </c>
      <c r="B5" s="4" t="s">
        <v>8</v>
      </c>
      <c r="C5" s="5">
        <v>0</v>
      </c>
      <c r="D5" s="5">
        <v>0</v>
      </c>
      <c r="E5" s="5">
        <v>2</v>
      </c>
      <c r="F5" s="5">
        <v>0</v>
      </c>
      <c r="G5" s="5">
        <v>4</v>
      </c>
      <c r="H5" s="5">
        <v>0</v>
      </c>
      <c r="I5" s="5">
        <v>12.1</v>
      </c>
      <c r="J5" s="5">
        <v>0</v>
      </c>
      <c r="K5" s="5">
        <v>6</v>
      </c>
      <c r="L5" s="5">
        <v>0</v>
      </c>
    </row>
    <row r="6" spans="1:12" x14ac:dyDescent="0.25">
      <c r="A6" s="3">
        <f t="shared" si="0"/>
        <v>3</v>
      </c>
      <c r="B6" s="4" t="s">
        <v>9</v>
      </c>
      <c r="C6" s="5">
        <v>0</v>
      </c>
      <c r="D6" s="5">
        <v>0</v>
      </c>
      <c r="E6" s="5">
        <v>1.48</v>
      </c>
      <c r="F6" s="5">
        <v>0</v>
      </c>
      <c r="G6" s="5">
        <v>0</v>
      </c>
      <c r="H6" s="5">
        <v>0</v>
      </c>
      <c r="I6" s="5">
        <v>12.65</v>
      </c>
      <c r="J6" s="5">
        <v>0</v>
      </c>
      <c r="K6" s="5">
        <v>0</v>
      </c>
      <c r="L6" s="5">
        <v>0</v>
      </c>
    </row>
    <row r="7" spans="1:12" x14ac:dyDescent="0.25">
      <c r="A7" s="3">
        <f t="shared" si="0"/>
        <v>4</v>
      </c>
      <c r="B7" s="4" t="s">
        <v>10</v>
      </c>
      <c r="C7" s="5">
        <v>0</v>
      </c>
      <c r="D7" s="5">
        <v>0</v>
      </c>
      <c r="E7" s="5">
        <v>1.3480000000000001</v>
      </c>
      <c r="F7" s="5">
        <v>0</v>
      </c>
      <c r="G7" s="5">
        <v>0</v>
      </c>
      <c r="H7" s="5">
        <f>15.991/47.1</f>
        <v>0.33951167728237791</v>
      </c>
      <c r="I7" s="5">
        <v>0</v>
      </c>
      <c r="J7" s="5">
        <v>0</v>
      </c>
      <c r="K7" s="5">
        <v>0</v>
      </c>
      <c r="L7" s="5">
        <v>0</v>
      </c>
    </row>
    <row r="8" spans="1:12" x14ac:dyDescent="0.25">
      <c r="A8" s="18" t="s">
        <v>22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spans="1:12" x14ac:dyDescent="0.25">
      <c r="A9" s="3">
        <f>A7+1</f>
        <v>5</v>
      </c>
      <c r="B9" s="4" t="s">
        <v>6</v>
      </c>
      <c r="C9" s="5">
        <v>0</v>
      </c>
      <c r="D9" s="5">
        <f>C3</f>
        <v>1.9995000000000001</v>
      </c>
      <c r="E9" s="5">
        <v>0</v>
      </c>
      <c r="F9" s="5">
        <f>E3</f>
        <v>0</v>
      </c>
      <c r="G9" s="5">
        <f t="shared" ref="G9:L13" si="1">G3</f>
        <v>0</v>
      </c>
      <c r="H9" s="5">
        <f t="shared" si="1"/>
        <v>0</v>
      </c>
      <c r="I9" s="5">
        <f t="shared" si="1"/>
        <v>10.803200000000002</v>
      </c>
      <c r="J9" s="5">
        <f t="shared" si="1"/>
        <v>0</v>
      </c>
      <c r="K9" s="5">
        <f t="shared" si="1"/>
        <v>12.4992</v>
      </c>
      <c r="L9" s="5">
        <f t="shared" si="1"/>
        <v>5.0003000000000002</v>
      </c>
    </row>
    <row r="10" spans="1:12" x14ac:dyDescent="0.25">
      <c r="A10" s="3">
        <f t="shared" si="0"/>
        <v>6</v>
      </c>
      <c r="B10" s="4" t="s">
        <v>7</v>
      </c>
      <c r="C10" s="5">
        <f>C4</f>
        <v>0</v>
      </c>
      <c r="D10" s="5">
        <v>0</v>
      </c>
      <c r="E10" s="5">
        <v>0</v>
      </c>
      <c r="F10" s="5">
        <f>E4</f>
        <v>5.74</v>
      </c>
      <c r="G10" s="5">
        <f t="shared" si="1"/>
        <v>4.5</v>
      </c>
      <c r="H10" s="5">
        <f t="shared" si="1"/>
        <v>0</v>
      </c>
      <c r="I10" s="5">
        <f t="shared" si="1"/>
        <v>3.298</v>
      </c>
      <c r="J10" s="5">
        <f t="shared" si="1"/>
        <v>0</v>
      </c>
      <c r="K10" s="5">
        <f t="shared" si="1"/>
        <v>3.1</v>
      </c>
      <c r="L10" s="5">
        <f t="shared" si="1"/>
        <v>0</v>
      </c>
    </row>
    <row r="11" spans="1:12" x14ac:dyDescent="0.25">
      <c r="A11" s="3">
        <f t="shared" si="0"/>
        <v>7</v>
      </c>
      <c r="B11" s="4" t="s">
        <v>8</v>
      </c>
      <c r="C11" s="5">
        <f>C5</f>
        <v>0</v>
      </c>
      <c r="D11" s="5">
        <v>0</v>
      </c>
      <c r="E11" s="5">
        <v>0</v>
      </c>
      <c r="F11" s="5">
        <f>E5</f>
        <v>2</v>
      </c>
      <c r="G11" s="5">
        <f t="shared" si="1"/>
        <v>4</v>
      </c>
      <c r="H11" s="5">
        <f t="shared" si="1"/>
        <v>0</v>
      </c>
      <c r="I11" s="5">
        <f t="shared" si="1"/>
        <v>12.1</v>
      </c>
      <c r="J11" s="5">
        <f t="shared" si="1"/>
        <v>0</v>
      </c>
      <c r="K11" s="5">
        <f t="shared" si="1"/>
        <v>6</v>
      </c>
      <c r="L11" s="5">
        <f t="shared" si="1"/>
        <v>0</v>
      </c>
    </row>
    <row r="12" spans="1:12" x14ac:dyDescent="0.25">
      <c r="A12" s="3">
        <f t="shared" si="0"/>
        <v>8</v>
      </c>
      <c r="B12" s="4" t="s">
        <v>9</v>
      </c>
      <c r="C12" s="5">
        <f>C6</f>
        <v>0</v>
      </c>
      <c r="D12" s="5">
        <v>0</v>
      </c>
      <c r="E12" s="5">
        <v>0</v>
      </c>
      <c r="F12" s="5">
        <f>E6</f>
        <v>1.48</v>
      </c>
      <c r="G12" s="5">
        <f t="shared" si="1"/>
        <v>0</v>
      </c>
      <c r="H12" s="5">
        <f t="shared" si="1"/>
        <v>0</v>
      </c>
      <c r="I12" s="5">
        <f t="shared" si="1"/>
        <v>12.65</v>
      </c>
      <c r="J12" s="5">
        <f t="shared" si="1"/>
        <v>0</v>
      </c>
      <c r="K12" s="5">
        <f t="shared" si="1"/>
        <v>0</v>
      </c>
      <c r="L12" s="5">
        <f t="shared" si="1"/>
        <v>0</v>
      </c>
    </row>
    <row r="13" spans="1:12" x14ac:dyDescent="0.25">
      <c r="A13" s="3">
        <f t="shared" si="0"/>
        <v>9</v>
      </c>
      <c r="B13" s="4" t="s">
        <v>10</v>
      </c>
      <c r="C13" s="5">
        <f>C7</f>
        <v>0</v>
      </c>
      <c r="D13" s="5">
        <v>0</v>
      </c>
      <c r="E13" s="5">
        <v>0</v>
      </c>
      <c r="F13" s="5">
        <f>E7</f>
        <v>1.3480000000000001</v>
      </c>
      <c r="G13" s="5">
        <f t="shared" si="1"/>
        <v>0</v>
      </c>
      <c r="H13" s="5">
        <f t="shared" si="1"/>
        <v>0.33951167728237791</v>
      </c>
      <c r="I13" s="5">
        <f t="shared" si="1"/>
        <v>0</v>
      </c>
      <c r="J13" s="5">
        <f t="shared" si="1"/>
        <v>0</v>
      </c>
      <c r="K13" s="5">
        <f t="shared" si="1"/>
        <v>0</v>
      </c>
      <c r="L13" s="5">
        <f t="shared" si="1"/>
        <v>0</v>
      </c>
    </row>
    <row r="14" spans="1:12" x14ac:dyDescent="0.25">
      <c r="A14" s="18" t="s">
        <v>23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pans="1:12" x14ac:dyDescent="0.25">
      <c r="A15" s="3">
        <f>A13+1</f>
        <v>10</v>
      </c>
      <c r="B15" s="4" t="s">
        <v>6</v>
      </c>
      <c r="C15" s="5">
        <f t="shared" ref="C15:D19" si="2">C9</f>
        <v>0</v>
      </c>
      <c r="D15" s="5">
        <f t="shared" si="2"/>
        <v>1.9995000000000001</v>
      </c>
      <c r="E15" s="5">
        <v>0</v>
      </c>
      <c r="F15" s="5">
        <f>F9</f>
        <v>0</v>
      </c>
      <c r="G15" s="5">
        <f>G9</f>
        <v>0</v>
      </c>
      <c r="H15" s="5">
        <f>H9</f>
        <v>0</v>
      </c>
      <c r="I15" s="5">
        <v>0</v>
      </c>
      <c r="J15" s="5">
        <f>I9</f>
        <v>10.803200000000002</v>
      </c>
      <c r="K15" s="5">
        <f t="shared" ref="K15:L19" si="3">K9</f>
        <v>12.4992</v>
      </c>
      <c r="L15" s="5">
        <f t="shared" si="3"/>
        <v>5.0003000000000002</v>
      </c>
    </row>
    <row r="16" spans="1:12" x14ac:dyDescent="0.25">
      <c r="A16" s="3">
        <f t="shared" si="0"/>
        <v>11</v>
      </c>
      <c r="B16" s="4" t="s">
        <v>7</v>
      </c>
      <c r="C16" s="5">
        <f t="shared" si="2"/>
        <v>0</v>
      </c>
      <c r="D16" s="5">
        <f t="shared" si="2"/>
        <v>0</v>
      </c>
      <c r="E16" s="5">
        <v>0</v>
      </c>
      <c r="F16" s="5">
        <f t="shared" ref="F16:F19" si="4">F10</f>
        <v>5.74</v>
      </c>
      <c r="G16" s="5">
        <f t="shared" ref="G16:H19" si="5">G10</f>
        <v>4.5</v>
      </c>
      <c r="H16" s="5">
        <f t="shared" si="5"/>
        <v>0</v>
      </c>
      <c r="I16" s="5">
        <v>0</v>
      </c>
      <c r="J16" s="5">
        <f t="shared" ref="J16:J19" si="6">I10</f>
        <v>3.298</v>
      </c>
      <c r="K16" s="5">
        <f t="shared" si="3"/>
        <v>3.1</v>
      </c>
      <c r="L16" s="5">
        <f t="shared" si="3"/>
        <v>0</v>
      </c>
    </row>
    <row r="17" spans="1:12" x14ac:dyDescent="0.25">
      <c r="A17" s="3">
        <f t="shared" si="0"/>
        <v>12</v>
      </c>
      <c r="B17" s="4" t="s">
        <v>8</v>
      </c>
      <c r="C17" s="5">
        <f t="shared" si="2"/>
        <v>0</v>
      </c>
      <c r="D17" s="5">
        <f t="shared" si="2"/>
        <v>0</v>
      </c>
      <c r="E17" s="5">
        <v>0</v>
      </c>
      <c r="F17" s="5">
        <f t="shared" si="4"/>
        <v>2</v>
      </c>
      <c r="G17" s="5">
        <f t="shared" si="5"/>
        <v>4</v>
      </c>
      <c r="H17" s="5">
        <f t="shared" si="5"/>
        <v>0</v>
      </c>
      <c r="I17" s="5">
        <v>0</v>
      </c>
      <c r="J17" s="5">
        <f t="shared" si="6"/>
        <v>12.1</v>
      </c>
      <c r="K17" s="5">
        <f t="shared" si="3"/>
        <v>6</v>
      </c>
      <c r="L17" s="5">
        <f t="shared" si="3"/>
        <v>0</v>
      </c>
    </row>
    <row r="18" spans="1:12" x14ac:dyDescent="0.25">
      <c r="A18" s="3">
        <f t="shared" si="0"/>
        <v>13</v>
      </c>
      <c r="B18" s="4" t="s">
        <v>9</v>
      </c>
      <c r="C18" s="5">
        <f t="shared" si="2"/>
        <v>0</v>
      </c>
      <c r="D18" s="5">
        <f t="shared" si="2"/>
        <v>0</v>
      </c>
      <c r="E18" s="5">
        <v>0</v>
      </c>
      <c r="F18" s="5">
        <f t="shared" si="4"/>
        <v>1.48</v>
      </c>
      <c r="G18" s="5">
        <f t="shared" si="5"/>
        <v>0</v>
      </c>
      <c r="H18" s="5">
        <f t="shared" si="5"/>
        <v>0</v>
      </c>
      <c r="I18" s="5">
        <v>0</v>
      </c>
      <c r="J18" s="5">
        <f t="shared" si="6"/>
        <v>12.65</v>
      </c>
      <c r="K18" s="5">
        <f t="shared" si="3"/>
        <v>0</v>
      </c>
      <c r="L18" s="5">
        <f t="shared" si="3"/>
        <v>0</v>
      </c>
    </row>
    <row r="19" spans="1:12" x14ac:dyDescent="0.25">
      <c r="A19" s="3">
        <f t="shared" si="0"/>
        <v>14</v>
      </c>
      <c r="B19" s="4" t="s">
        <v>10</v>
      </c>
      <c r="C19" s="5">
        <f t="shared" si="2"/>
        <v>0</v>
      </c>
      <c r="D19" s="5">
        <f t="shared" si="2"/>
        <v>0</v>
      </c>
      <c r="E19" s="5">
        <v>0</v>
      </c>
      <c r="F19" s="5">
        <f t="shared" si="4"/>
        <v>1.3480000000000001</v>
      </c>
      <c r="G19" s="5">
        <f t="shared" si="5"/>
        <v>0</v>
      </c>
      <c r="H19" s="5">
        <f t="shared" si="5"/>
        <v>0.33951167728237791</v>
      </c>
      <c r="I19" s="5">
        <v>0</v>
      </c>
      <c r="J19" s="5">
        <f t="shared" si="6"/>
        <v>0</v>
      </c>
      <c r="K19" s="5">
        <f t="shared" si="3"/>
        <v>0</v>
      </c>
      <c r="L19" s="5">
        <f t="shared" si="3"/>
        <v>0</v>
      </c>
    </row>
  </sheetData>
  <mergeCells count="3">
    <mergeCell ref="A14:L14"/>
    <mergeCell ref="A8:L8"/>
    <mergeCell ref="A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81E91-0287-4BBA-B14B-2DBDA7A3E723}">
  <dimension ref="A1:O19"/>
  <sheetViews>
    <sheetView workbookViewId="0">
      <selection activeCell="G33" sqref="G33"/>
    </sheetView>
  </sheetViews>
  <sheetFormatPr defaultRowHeight="15" x14ac:dyDescent="0.25"/>
  <cols>
    <col min="1" max="1" width="3" bestFit="1" customWidth="1"/>
    <col min="2" max="2" width="16.7109375" bestFit="1" customWidth="1"/>
    <col min="3" max="3" width="9.28515625" bestFit="1" customWidth="1"/>
    <col min="4" max="4" width="11.42578125" bestFit="1" customWidth="1"/>
    <col min="5" max="5" width="13.140625" bestFit="1" customWidth="1"/>
    <col min="6" max="6" width="15.85546875" bestFit="1" customWidth="1"/>
    <col min="7" max="7" width="19" bestFit="1" customWidth="1"/>
    <col min="8" max="8" width="23.85546875" bestFit="1" customWidth="1"/>
    <col min="9" max="9" width="20.42578125" bestFit="1" customWidth="1"/>
    <col min="10" max="10" width="21.5703125" bestFit="1" customWidth="1"/>
    <col min="11" max="11" width="17.42578125" bestFit="1" customWidth="1"/>
    <col min="12" max="12" width="14.28515625" bestFit="1" customWidth="1"/>
  </cols>
  <sheetData>
    <row r="1" spans="1:15" x14ac:dyDescent="0.25">
      <c r="A1" s="2"/>
      <c r="B1" s="6" t="s">
        <v>2</v>
      </c>
      <c r="C1" s="7" t="s">
        <v>13</v>
      </c>
      <c r="D1" s="7" t="s">
        <v>20</v>
      </c>
      <c r="E1" s="7" t="s">
        <v>16</v>
      </c>
      <c r="F1" s="7" t="s">
        <v>24</v>
      </c>
      <c r="G1" s="7" t="s">
        <v>19</v>
      </c>
      <c r="H1" s="7" t="s">
        <v>35</v>
      </c>
      <c r="I1" s="7" t="s">
        <v>17</v>
      </c>
      <c r="J1" s="7" t="s">
        <v>18</v>
      </c>
      <c r="K1" s="7" t="s">
        <v>14</v>
      </c>
      <c r="L1" s="7" t="s">
        <v>15</v>
      </c>
      <c r="M1" s="8" t="s">
        <v>1</v>
      </c>
      <c r="N1" s="25" t="s">
        <v>46</v>
      </c>
      <c r="O1" s="25" t="s">
        <v>47</v>
      </c>
    </row>
    <row r="2" spans="1:15" x14ac:dyDescent="0.25">
      <c r="A2" s="15" t="s">
        <v>21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</row>
    <row r="3" spans="1:15" x14ac:dyDescent="0.25">
      <c r="A3" s="3">
        <v>0</v>
      </c>
      <c r="B3" s="4" t="s">
        <v>6</v>
      </c>
      <c r="C3" s="5">
        <f>mass_balance!C3*prices!$A$3</f>
        <v>0.16811582858101309</v>
      </c>
      <c r="D3" s="5">
        <f>mass_balance!D3*prices!$B$3</f>
        <v>0</v>
      </c>
      <c r="E3" s="5">
        <f>mass_balance!E3*prices!$C$3</f>
        <v>0</v>
      </c>
      <c r="F3" s="5">
        <f>mass_balance!F3*prices!$D$3</f>
        <v>0</v>
      </c>
      <c r="G3" s="5">
        <f>mass_balance!G3*prices!$E$3</f>
        <v>0</v>
      </c>
      <c r="H3" s="5">
        <f>mass_balance!H3*prices!$F$3</f>
        <v>0</v>
      </c>
      <c r="I3" s="5">
        <f>mass_balance!I3*prices!$G$3</f>
        <v>1.009963159703704</v>
      </c>
      <c r="J3" s="5">
        <f>mass_balance!J3*prices!$H$3</f>
        <v>0</v>
      </c>
      <c r="K3" s="5">
        <f>mass_balance!K3*prices!$I$3</f>
        <v>6.0440575999999992E-4</v>
      </c>
      <c r="L3" s="5">
        <f>mass_balance!L3*prices!$J$3</f>
        <v>0</v>
      </c>
      <c r="M3" s="14">
        <f>SUM(C3:L3)</f>
        <v>1.1786833940447172</v>
      </c>
      <c r="N3" s="24">
        <f>SUMPRODUCT(mass_balance!C3:L3, prices!$A$4:$J$4)</f>
        <v>0.86219297179340504</v>
      </c>
      <c r="O3" s="24">
        <f>SUMPRODUCT(mass_balance!C3:L3, prices!$A$5:$J$5)</f>
        <v>1.8654837893437015</v>
      </c>
    </row>
    <row r="4" spans="1:15" x14ac:dyDescent="0.25">
      <c r="A4" s="3">
        <f>A3+1</f>
        <v>1</v>
      </c>
      <c r="B4" s="4" t="s">
        <v>7</v>
      </c>
      <c r="C4" s="5">
        <f>mass_balance!C4*prices!$A$3</f>
        <v>0</v>
      </c>
      <c r="D4" s="5">
        <f>mass_balance!D4*prices!$B$3</f>
        <v>0</v>
      </c>
      <c r="E4" s="5">
        <f>mass_balance!E4*prices!$C$3</f>
        <v>1.6333086024431402</v>
      </c>
      <c r="F4" s="5">
        <f>mass_balance!F4*prices!$D$3</f>
        <v>0</v>
      </c>
      <c r="G4" s="5">
        <f>mass_balance!G4*prices!$E$3</f>
        <v>9.4293333333333326E-2</v>
      </c>
      <c r="H4" s="5">
        <f>mass_balance!H4*prices!$F$3</f>
        <v>0</v>
      </c>
      <c r="I4" s="5">
        <f>mass_balance!I4*prices!$G$3</f>
        <v>0.30832146962962964</v>
      </c>
      <c r="J4" s="5">
        <f>mass_balance!J4*prices!$H$3</f>
        <v>0</v>
      </c>
      <c r="K4" s="5">
        <f>mass_balance!K4*prices!$I$3</f>
        <v>1.4990222222222219E-4</v>
      </c>
      <c r="L4" s="5">
        <f>mass_balance!L4*prices!$J$3</f>
        <v>0</v>
      </c>
      <c r="M4" s="14">
        <f t="shared" ref="M4:M19" si="0">SUM(C4:L4)</f>
        <v>2.0360733076283255</v>
      </c>
      <c r="N4" s="24">
        <f>SUMPRODUCT(mass_balance!C4:L4, prices!$A$4:$J$4)</f>
        <v>1.4222337254320987</v>
      </c>
      <c r="O4" s="24">
        <f>SUMPRODUCT(mass_balance!C4:L4, prices!$A$5:$J$5)</f>
        <v>2.8456016893827161</v>
      </c>
    </row>
    <row r="5" spans="1:15" x14ac:dyDescent="0.25">
      <c r="A5" s="3">
        <f t="shared" ref="A5:A19" si="1">A4+1</f>
        <v>2</v>
      </c>
      <c r="B5" s="4" t="s">
        <v>8</v>
      </c>
      <c r="C5" s="5">
        <f>mass_balance!C5*prices!$A$3</f>
        <v>0</v>
      </c>
      <c r="D5" s="5">
        <f>mass_balance!D5*prices!$B$3</f>
        <v>0</v>
      </c>
      <c r="E5" s="5">
        <f>mass_balance!E5*prices!$C$3</f>
        <v>0.56909707402200005</v>
      </c>
      <c r="F5" s="5">
        <f>mass_balance!F5*prices!$D$3</f>
        <v>0</v>
      </c>
      <c r="G5" s="5">
        <f>mass_balance!G5*prices!$E$3</f>
        <v>8.3816296296296292E-2</v>
      </c>
      <c r="H5" s="5">
        <f>mass_balance!H5*prices!$F$3</f>
        <v>0</v>
      </c>
      <c r="I5" s="5">
        <f>mass_balance!I5*prices!$G$3</f>
        <v>1.1311976296296296</v>
      </c>
      <c r="J5" s="5">
        <f>mass_balance!J5*prices!$H$3</f>
        <v>0</v>
      </c>
      <c r="K5" s="5">
        <f>mass_balance!K5*prices!$I$3</f>
        <v>2.901333333333333E-4</v>
      </c>
      <c r="L5" s="5">
        <f>mass_balance!L5*prices!$J$3</f>
        <v>0</v>
      </c>
      <c r="M5" s="14">
        <f t="shared" si="0"/>
        <v>1.7844011332812593</v>
      </c>
      <c r="N5" s="24">
        <f>SUMPRODUCT(mass_balance!C5:L5, prices!$A$4:$J$4)</f>
        <v>1.2851589728395061</v>
      </c>
      <c r="O5" s="24">
        <f>SUMPRODUCT(mass_balance!C5:L5, prices!$A$5:$J$5)</f>
        <v>2.6960255901234569</v>
      </c>
    </row>
    <row r="6" spans="1:15" x14ac:dyDescent="0.25">
      <c r="A6" s="3">
        <f t="shared" si="1"/>
        <v>3</v>
      </c>
      <c r="B6" s="4" t="s">
        <v>9</v>
      </c>
      <c r="C6" s="5">
        <f>mass_balance!C6*prices!$A$3</f>
        <v>0</v>
      </c>
      <c r="D6" s="5">
        <f>mass_balance!D6*prices!$B$3</f>
        <v>0</v>
      </c>
      <c r="E6" s="5">
        <f>mass_balance!E6*prices!$C$3</f>
        <v>0.42113183477628002</v>
      </c>
      <c r="F6" s="5">
        <f>mass_balance!F6*prices!$D$3</f>
        <v>0</v>
      </c>
      <c r="G6" s="5">
        <f>mass_balance!G6*prices!$E$3</f>
        <v>0</v>
      </c>
      <c r="H6" s="5">
        <f>mass_balance!H6*prices!$F$3</f>
        <v>0</v>
      </c>
      <c r="I6" s="5">
        <f>mass_balance!I6*prices!$G$3</f>
        <v>1.1826157037037037</v>
      </c>
      <c r="J6" s="5">
        <f>mass_balance!J6*prices!$H$3</f>
        <v>0</v>
      </c>
      <c r="K6" s="5">
        <f>mass_balance!K6*prices!$I$3</f>
        <v>0</v>
      </c>
      <c r="L6" s="5">
        <f>mass_balance!L6*prices!$J$3</f>
        <v>0</v>
      </c>
      <c r="M6" s="14">
        <f t="shared" si="0"/>
        <v>1.6037475384799837</v>
      </c>
      <c r="N6" s="24">
        <f>SUMPRODUCT(mass_balance!C6:L6, prices!$A$4:$J$4)</f>
        <v>1.1379969679012345</v>
      </c>
      <c r="O6" s="24">
        <f>SUMPRODUCT(mass_balance!C6:L6, prices!$A$5:$J$5)</f>
        <v>2.4908303950617285</v>
      </c>
    </row>
    <row r="7" spans="1:15" x14ac:dyDescent="0.25">
      <c r="A7" s="3">
        <f t="shared" si="1"/>
        <v>4</v>
      </c>
      <c r="B7" s="4" t="s">
        <v>10</v>
      </c>
      <c r="C7" s="5">
        <f>mass_balance!C7*prices!$A$3</f>
        <v>0</v>
      </c>
      <c r="D7" s="5">
        <f>mass_balance!D7*prices!$B$3</f>
        <v>0</v>
      </c>
      <c r="E7" s="5">
        <f>mass_balance!E7*prices!$C$3</f>
        <v>0.38357142789082804</v>
      </c>
      <c r="F7" s="5">
        <f>mass_balance!F7*prices!$D$3</f>
        <v>0</v>
      </c>
      <c r="G7" s="5">
        <f>mass_balance!G7*prices!$E$3</f>
        <v>0</v>
      </c>
      <c r="H7" s="5">
        <f>mass_balance!H7*prices!$F$3</f>
        <v>9.6607551068851411E-2</v>
      </c>
      <c r="I7" s="5">
        <f>mass_balance!I7*prices!$G$3</f>
        <v>0</v>
      </c>
      <c r="J7" s="5">
        <f>mass_balance!J7*prices!$H$3</f>
        <v>0</v>
      </c>
      <c r="K7" s="5">
        <f>mass_balance!K7*prices!$I$3</f>
        <v>0</v>
      </c>
      <c r="L7" s="5">
        <f>mass_balance!L7*prices!$J$3</f>
        <v>0</v>
      </c>
      <c r="M7" s="14">
        <f t="shared" si="0"/>
        <v>0.48017897895967943</v>
      </c>
      <c r="N7" s="24">
        <f>SUMPRODUCT(mass_balance!C7:L7, prices!$A$4:$J$4)</f>
        <v>0.32498099881104037</v>
      </c>
      <c r="O7" s="24">
        <f>SUMPRODUCT(mass_balance!C7:L7, prices!$A$5:$J$5)</f>
        <v>0.66243270891719752</v>
      </c>
    </row>
    <row r="8" spans="1:15" x14ac:dyDescent="0.25">
      <c r="A8" s="20" t="s">
        <v>22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24"/>
      <c r="O8" s="24"/>
    </row>
    <row r="9" spans="1:15" x14ac:dyDescent="0.25">
      <c r="A9" s="3">
        <f>A7+1</f>
        <v>5</v>
      </c>
      <c r="B9" s="4" t="s">
        <v>6</v>
      </c>
      <c r="C9" s="5">
        <f>mass_balance!C9*prices!$A$3</f>
        <v>0</v>
      </c>
      <c r="D9" s="5">
        <f>mass_balance!D9*prices!$B$3</f>
        <v>0.54210581896551735</v>
      </c>
      <c r="E9" s="5">
        <f>mass_balance!E9*prices!$C$3</f>
        <v>0</v>
      </c>
      <c r="F9" s="5">
        <f>mass_balance!F9*prices!$D$3</f>
        <v>0</v>
      </c>
      <c r="G9" s="5">
        <f>mass_balance!G9*prices!$E$3</f>
        <v>0</v>
      </c>
      <c r="H9" s="5">
        <f>mass_balance!H9*prices!$F$3</f>
        <v>0</v>
      </c>
      <c r="I9" s="5">
        <f>mass_balance!I9*prices!$G$3</f>
        <v>1.009963159703704</v>
      </c>
      <c r="J9" s="5">
        <f>mass_balance!J9*prices!$H$3</f>
        <v>0</v>
      </c>
      <c r="K9" s="5">
        <f>mass_balance!K9*prices!$I$3</f>
        <v>6.0440575999999992E-4</v>
      </c>
      <c r="L9" s="5">
        <f>mass_balance!L9*prices!$J$3</f>
        <v>0</v>
      </c>
      <c r="M9" s="14">
        <f t="shared" si="0"/>
        <v>1.5526733844292215</v>
      </c>
      <c r="N9" s="24">
        <f>SUMPRODUCT(mass_balance!C9:L9, prices!$A$4:$J$4)</f>
        <v>0.96347898359226913</v>
      </c>
      <c r="O9" s="24">
        <f>SUMPRODUCT(mass_balance!C9:L9, prices!$A$5:$J$5)</f>
        <v>2.4814243648217289</v>
      </c>
    </row>
    <row r="10" spans="1:15" x14ac:dyDescent="0.25">
      <c r="A10" s="3">
        <f t="shared" si="1"/>
        <v>6</v>
      </c>
      <c r="B10" s="4" t="s">
        <v>7</v>
      </c>
      <c r="C10" s="5">
        <f>mass_balance!C10*prices!$A$3</f>
        <v>0</v>
      </c>
      <c r="D10" s="5">
        <f>mass_balance!D10*prices!$B$3</f>
        <v>0</v>
      </c>
      <c r="E10" s="5">
        <f>mass_balance!E10*prices!$C$3</f>
        <v>0</v>
      </c>
      <c r="F10" s="5">
        <f>mass_balance!F10*prices!$D$3</f>
        <v>8.5419980409258631</v>
      </c>
      <c r="G10" s="5">
        <f>mass_balance!G10*prices!$E$3</f>
        <v>9.4293333333333326E-2</v>
      </c>
      <c r="H10" s="5">
        <f>mass_balance!H10*prices!$F$3</f>
        <v>0</v>
      </c>
      <c r="I10" s="5">
        <f>mass_balance!I10*prices!$G$3</f>
        <v>0.30832146962962964</v>
      </c>
      <c r="J10" s="5">
        <f>mass_balance!J10*prices!$H$3</f>
        <v>0</v>
      </c>
      <c r="K10" s="5">
        <f>mass_balance!K10*prices!$I$3</f>
        <v>1.4990222222222219E-4</v>
      </c>
      <c r="L10" s="5">
        <f>mass_balance!L10*prices!$J$3</f>
        <v>0</v>
      </c>
      <c r="M10" s="14">
        <f t="shared" si="0"/>
        <v>8.9447627461110475</v>
      </c>
      <c r="N10" s="24">
        <f>SUMPRODUCT(mass_balance!C10:L10, prices!$A$4:$J$4)</f>
        <v>6.3888472292227725</v>
      </c>
      <c r="O10" s="24">
        <f>SUMPRODUCT(mass_balance!C10:L10, prices!$A$5:$J$5)</f>
        <v>11.501422428396468</v>
      </c>
    </row>
    <row r="11" spans="1:15" x14ac:dyDescent="0.25">
      <c r="A11" s="3">
        <f t="shared" si="1"/>
        <v>7</v>
      </c>
      <c r="B11" s="4" t="s">
        <v>8</v>
      </c>
      <c r="C11" s="5">
        <f>mass_balance!C11*prices!$A$3</f>
        <v>0</v>
      </c>
      <c r="D11" s="5">
        <f>mass_balance!D11*prices!$B$3</f>
        <v>0</v>
      </c>
      <c r="E11" s="5">
        <f>mass_balance!E11*prices!$C$3</f>
        <v>0</v>
      </c>
      <c r="F11" s="5">
        <f>mass_balance!F11*prices!$D$3</f>
        <v>2.9763059376048302</v>
      </c>
      <c r="G11" s="5">
        <f>mass_balance!G11*prices!$E$3</f>
        <v>8.3816296296296292E-2</v>
      </c>
      <c r="H11" s="5">
        <f>mass_balance!H11*prices!$F$3</f>
        <v>0</v>
      </c>
      <c r="I11" s="5">
        <f>mass_balance!I11*prices!$G$3</f>
        <v>1.1311976296296296</v>
      </c>
      <c r="J11" s="5">
        <f>mass_balance!J11*prices!$H$3</f>
        <v>0</v>
      </c>
      <c r="K11" s="5">
        <f>mass_balance!K11*prices!$I$3</f>
        <v>2.901333333333333E-4</v>
      </c>
      <c r="L11" s="5">
        <f>mass_balance!L11*prices!$J$3</f>
        <v>0</v>
      </c>
      <c r="M11" s="14">
        <f t="shared" si="0"/>
        <v>4.1916099968640896</v>
      </c>
      <c r="N11" s="24">
        <f>SUMPRODUCT(mass_balance!C11:L11, prices!$A$4:$J$4)</f>
        <v>3.0156863260766746</v>
      </c>
      <c r="O11" s="24">
        <f>SUMPRODUCT(mass_balance!C11:L11, prices!$A$5:$J$5)</f>
        <v>5.7119910044139628</v>
      </c>
    </row>
    <row r="12" spans="1:15" x14ac:dyDescent="0.25">
      <c r="A12" s="3">
        <f t="shared" si="1"/>
        <v>8</v>
      </c>
      <c r="B12" s="4" t="s">
        <v>9</v>
      </c>
      <c r="C12" s="5">
        <f>mass_balance!C12*prices!$A$3</f>
        <v>0</v>
      </c>
      <c r="D12" s="5">
        <f>mass_balance!D12*prices!$B$3</f>
        <v>0</v>
      </c>
      <c r="E12" s="5">
        <f>mass_balance!E12*prices!$C$3</f>
        <v>0</v>
      </c>
      <c r="F12" s="5">
        <f>mass_balance!F12*prices!$D$3</f>
        <v>2.2024663938275744</v>
      </c>
      <c r="G12" s="5">
        <f>mass_balance!G12*prices!$E$3</f>
        <v>0</v>
      </c>
      <c r="H12" s="5">
        <f>mass_balance!H12*prices!$F$3</f>
        <v>0</v>
      </c>
      <c r="I12" s="5">
        <f>mass_balance!I12*prices!$G$3</f>
        <v>1.1826157037037037</v>
      </c>
      <c r="J12" s="5">
        <f>mass_balance!J12*prices!$H$3</f>
        <v>0</v>
      </c>
      <c r="K12" s="5">
        <f>mass_balance!K12*prices!$I$3</f>
        <v>0</v>
      </c>
      <c r="L12" s="5">
        <f>mass_balance!L12*prices!$J$3</f>
        <v>0</v>
      </c>
      <c r="M12" s="14">
        <f t="shared" si="0"/>
        <v>3.3850820975312779</v>
      </c>
      <c r="N12" s="24">
        <f>SUMPRODUCT(mass_balance!C12:L12, prices!$A$4:$J$4)</f>
        <v>2.4185872092967391</v>
      </c>
      <c r="O12" s="24">
        <f>SUMPRODUCT(mass_balance!C12:L12, prices!$A$5:$J$5)</f>
        <v>4.7226448016367026</v>
      </c>
    </row>
    <row r="13" spans="1:15" x14ac:dyDescent="0.25">
      <c r="A13" s="3">
        <f t="shared" si="1"/>
        <v>9</v>
      </c>
      <c r="B13" s="4" t="s">
        <v>10</v>
      </c>
      <c r="C13" s="5">
        <f>mass_balance!C13*prices!$A$3</f>
        <v>0</v>
      </c>
      <c r="D13" s="5">
        <f>mass_balance!D13*prices!$B$3</f>
        <v>0</v>
      </c>
      <c r="E13" s="5">
        <f>mass_balance!E13*prices!$C$3</f>
        <v>0</v>
      </c>
      <c r="F13" s="5">
        <f>mass_balance!F13*prices!$D$3</f>
        <v>2.0060302019456557</v>
      </c>
      <c r="G13" s="5">
        <f>mass_balance!G13*prices!$E$3</f>
        <v>0</v>
      </c>
      <c r="H13" s="5">
        <f>mass_balance!H13*prices!$F$3</f>
        <v>9.6607551068851411E-2</v>
      </c>
      <c r="I13" s="5">
        <f>mass_balance!I13*prices!$G$3</f>
        <v>0</v>
      </c>
      <c r="J13" s="5">
        <f>mass_balance!J13*prices!$H$3</f>
        <v>0</v>
      </c>
      <c r="K13" s="5">
        <f>mass_balance!K13*prices!$I$3</f>
        <v>0</v>
      </c>
      <c r="L13" s="5">
        <f>mass_balance!L13*prices!$J$3</f>
        <v>0</v>
      </c>
      <c r="M13" s="14">
        <f t="shared" si="0"/>
        <v>2.1026377530145073</v>
      </c>
      <c r="N13" s="24">
        <f>SUMPRODUCT(mass_balance!C13:L13, prices!$A$4:$J$4)</f>
        <v>1.4913564348928918</v>
      </c>
      <c r="O13" s="24">
        <f>SUMPRODUCT(mass_balance!C13:L13, prices!$A$5:$J$5)</f>
        <v>2.6951933981489984</v>
      </c>
    </row>
    <row r="14" spans="1:15" x14ac:dyDescent="0.25">
      <c r="A14" s="20" t="s">
        <v>23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2"/>
    </row>
    <row r="15" spans="1:15" x14ac:dyDescent="0.25">
      <c r="A15" s="3">
        <f>A13+1</f>
        <v>10</v>
      </c>
      <c r="B15" s="4" t="s">
        <v>6</v>
      </c>
      <c r="C15" s="5">
        <f>mass_balance!C15*prices!$A$3</f>
        <v>0</v>
      </c>
      <c r="D15" s="5">
        <f>mass_balance!D15*prices!$B$3</f>
        <v>0.54210581896551735</v>
      </c>
      <c r="E15" s="5">
        <f>mass_balance!E15*prices!$C$3</f>
        <v>0</v>
      </c>
      <c r="F15" s="5">
        <f>mass_balance!F15*prices!$D$3</f>
        <v>0</v>
      </c>
      <c r="G15" s="5">
        <f>mass_balance!G15*prices!$E$3</f>
        <v>0</v>
      </c>
      <c r="H15" s="5">
        <f>mass_balance!H15*prices!$F$3</f>
        <v>0</v>
      </c>
      <c r="I15" s="5">
        <f>mass_balance!I15*prices!$G$3</f>
        <v>0</v>
      </c>
      <c r="J15" s="5">
        <f>mass_balance!J15*prices!$H$3</f>
        <v>0.81841842251851871</v>
      </c>
      <c r="K15" s="5">
        <f>mass_balance!K15*prices!$I$3</f>
        <v>6.0440575999999992E-4</v>
      </c>
      <c r="L15" s="5">
        <f>mass_balance!L15*prices!$J$3</f>
        <v>0</v>
      </c>
      <c r="M15" s="14">
        <f t="shared" si="0"/>
        <v>1.3611286472440363</v>
      </c>
      <c r="N15" s="26">
        <f>SUMPRODUCT(mass_balance!C15:L15, prices!$A$4:$J$4)</f>
        <v>1.0229739398391828</v>
      </c>
      <c r="O15" s="24">
        <f>SUMPRODUCT(mass_balance!C15:L15, prices!$A$5:$J$5)</f>
        <v>2.3116460750439507</v>
      </c>
    </row>
    <row r="16" spans="1:15" x14ac:dyDescent="0.25">
      <c r="A16" s="3">
        <f t="shared" si="1"/>
        <v>11</v>
      </c>
      <c r="B16" s="4" t="s">
        <v>7</v>
      </c>
      <c r="C16" s="5">
        <f>mass_balance!C16*prices!$A$3</f>
        <v>0</v>
      </c>
      <c r="D16" s="5">
        <f>mass_balance!D16*prices!$B$3</f>
        <v>0</v>
      </c>
      <c r="E16" s="5">
        <f>mass_balance!E16*prices!$C$3</f>
        <v>0</v>
      </c>
      <c r="F16" s="5">
        <f>mass_balance!F16*prices!$D$3</f>
        <v>8.5419980409258631</v>
      </c>
      <c r="G16" s="5">
        <f>mass_balance!G16*prices!$E$3</f>
        <v>9.4293333333333326E-2</v>
      </c>
      <c r="H16" s="5">
        <f>mass_balance!H16*prices!$F$3</f>
        <v>0</v>
      </c>
      <c r="I16" s="5">
        <f>mass_balance!I16*prices!$G$3</f>
        <v>0</v>
      </c>
      <c r="J16" s="5">
        <f>mass_balance!J16*prices!$H$3</f>
        <v>0.24984670814814816</v>
      </c>
      <c r="K16" s="5">
        <f>mass_balance!K16*prices!$I$3</f>
        <v>1.4990222222222219E-4</v>
      </c>
      <c r="L16" s="5">
        <f>mass_balance!L16*prices!$J$3</f>
        <v>0</v>
      </c>
      <c r="M16" s="14">
        <f t="shared" si="0"/>
        <v>8.8862879846295666</v>
      </c>
      <c r="N16" s="26">
        <f>SUMPRODUCT(mass_balance!C16:L16, prices!$A$4:$J$4)</f>
        <v>6.4070098445314141</v>
      </c>
      <c r="O16" s="24">
        <f>SUMPRODUCT(mass_balance!C16:L16, prices!$A$5:$J$5)</f>
        <v>11.449592526174246</v>
      </c>
    </row>
    <row r="17" spans="1:15" x14ac:dyDescent="0.25">
      <c r="A17" s="3">
        <f t="shared" si="1"/>
        <v>12</v>
      </c>
      <c r="B17" s="4" t="s">
        <v>8</v>
      </c>
      <c r="C17" s="5">
        <f>mass_balance!C17*prices!$A$3</f>
        <v>0</v>
      </c>
      <c r="D17" s="5">
        <f>mass_balance!D17*prices!$B$3</f>
        <v>0</v>
      </c>
      <c r="E17" s="5">
        <f>mass_balance!E17*prices!$C$3</f>
        <v>0</v>
      </c>
      <c r="F17" s="5">
        <f>mass_balance!F17*prices!$D$3</f>
        <v>2.9763059376048302</v>
      </c>
      <c r="G17" s="5">
        <f>mass_balance!G17*prices!$E$3</f>
        <v>8.3816296296296292E-2</v>
      </c>
      <c r="H17" s="5">
        <f>mass_balance!H17*prices!$F$3</f>
        <v>0</v>
      </c>
      <c r="I17" s="5">
        <f>mass_balance!I17*prices!$G$3</f>
        <v>0</v>
      </c>
      <c r="J17" s="5">
        <f>mass_balance!J17*prices!$H$3</f>
        <v>0.91666014814814811</v>
      </c>
      <c r="K17" s="5">
        <f>mass_balance!K17*prices!$I$3</f>
        <v>2.901333333333333E-4</v>
      </c>
      <c r="L17" s="5">
        <f>mass_balance!L17*prices!$J$3</f>
        <v>0</v>
      </c>
      <c r="M17" s="14">
        <f t="shared" si="0"/>
        <v>3.9770725153826083</v>
      </c>
      <c r="N17" s="26">
        <f>SUMPRODUCT(mass_balance!C17:L17, prices!$A$4:$J$4)</f>
        <v>3.082322968051983</v>
      </c>
      <c r="O17" s="24">
        <f>SUMPRODUCT(mass_balance!C17:L17, prices!$A$5:$J$5)</f>
        <v>5.5218327821917406</v>
      </c>
    </row>
    <row r="18" spans="1:15" x14ac:dyDescent="0.25">
      <c r="A18" s="3">
        <f t="shared" si="1"/>
        <v>13</v>
      </c>
      <c r="B18" s="4" t="s">
        <v>9</v>
      </c>
      <c r="C18" s="5">
        <f>mass_balance!C18*prices!$A$3</f>
        <v>0</v>
      </c>
      <c r="D18" s="5">
        <f>mass_balance!D18*prices!$B$3</f>
        <v>0</v>
      </c>
      <c r="E18" s="5">
        <f>mass_balance!E18*prices!$C$3</f>
        <v>0</v>
      </c>
      <c r="F18" s="5">
        <f>mass_balance!F18*prices!$D$3</f>
        <v>2.2024663938275744</v>
      </c>
      <c r="G18" s="5">
        <f>mass_balance!G18*prices!$E$3</f>
        <v>0</v>
      </c>
      <c r="H18" s="5">
        <f>mass_balance!H18*prices!$F$3</f>
        <v>0</v>
      </c>
      <c r="I18" s="5">
        <f>mass_balance!I18*prices!$G$3</f>
        <v>0</v>
      </c>
      <c r="J18" s="5">
        <f>mass_balance!J18*prices!$H$3</f>
        <v>0.95832651851851858</v>
      </c>
      <c r="K18" s="5">
        <f>mass_balance!K18*prices!$I$3</f>
        <v>0</v>
      </c>
      <c r="L18" s="5">
        <f>mass_balance!L18*prices!$J$3</f>
        <v>0</v>
      </c>
      <c r="M18" s="14">
        <f t="shared" si="0"/>
        <v>3.1607929123460927</v>
      </c>
      <c r="N18" s="26">
        <f>SUMPRODUCT(mass_balance!C18:L18, prices!$A$4:$J$4)</f>
        <v>2.4882527895436528</v>
      </c>
      <c r="O18" s="24">
        <f>SUMPRODUCT(mass_balance!C18:L18, prices!$A$5:$J$5)</f>
        <v>4.5238430238589249</v>
      </c>
    </row>
    <row r="19" spans="1:15" x14ac:dyDescent="0.25">
      <c r="A19" s="3">
        <f t="shared" si="1"/>
        <v>14</v>
      </c>
      <c r="B19" s="4" t="s">
        <v>10</v>
      </c>
      <c r="C19" s="5">
        <f>mass_balance!C19*prices!$A$3</f>
        <v>0</v>
      </c>
      <c r="D19" s="5">
        <f>mass_balance!D19*prices!$B$3</f>
        <v>0</v>
      </c>
      <c r="E19" s="5">
        <f>mass_balance!E19*prices!$C$3</f>
        <v>0</v>
      </c>
      <c r="F19" s="5">
        <f>mass_balance!F19*prices!$D$3</f>
        <v>2.0060302019456557</v>
      </c>
      <c r="G19" s="5">
        <f>mass_balance!G19*prices!$E$3</f>
        <v>0</v>
      </c>
      <c r="H19" s="5">
        <f>mass_balance!H19*prices!$F$3</f>
        <v>9.6607551068851411E-2</v>
      </c>
      <c r="I19" s="5">
        <f>mass_balance!I19*prices!$G$3</f>
        <v>0</v>
      </c>
      <c r="J19" s="5">
        <f>mass_balance!J19*prices!$H$3</f>
        <v>0</v>
      </c>
      <c r="K19" s="5">
        <f>mass_balance!K19*prices!$I$3</f>
        <v>0</v>
      </c>
      <c r="L19" s="5">
        <f>mass_balance!L19*prices!$J$3</f>
        <v>0</v>
      </c>
      <c r="M19" s="14">
        <f t="shared" si="0"/>
        <v>2.1026377530145073</v>
      </c>
      <c r="N19" s="26">
        <f>SUMPRODUCT(mass_balance!C19:L19, prices!$A$4:$J$4)</f>
        <v>1.4913564348928918</v>
      </c>
      <c r="O19" s="24">
        <f>SUMPRODUCT(mass_balance!C19:L19, prices!$A$5:$J$5)</f>
        <v>2.6951933981489984</v>
      </c>
    </row>
  </sheetData>
  <mergeCells count="3">
    <mergeCell ref="A8:M8"/>
    <mergeCell ref="A2:M2"/>
    <mergeCell ref="A14:M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A552D-A147-4206-8FC6-95CE4C6C0B72}">
  <dimension ref="A1:J26"/>
  <sheetViews>
    <sheetView tabSelected="1" zoomScale="85" zoomScaleNormal="85" workbookViewId="0">
      <selection activeCell="A13" sqref="A13"/>
    </sheetView>
  </sheetViews>
  <sheetFormatPr defaultRowHeight="15" x14ac:dyDescent="0.25"/>
  <cols>
    <col min="1" max="1" width="25.140625" bestFit="1" customWidth="1"/>
    <col min="2" max="2" width="87.42578125" bestFit="1" customWidth="1"/>
    <col min="3" max="3" width="13.140625" bestFit="1" customWidth="1"/>
    <col min="4" max="4" width="15.85546875" bestFit="1" customWidth="1"/>
    <col min="5" max="5" width="19" bestFit="1" customWidth="1"/>
    <col min="6" max="6" width="23.85546875" bestFit="1" customWidth="1"/>
    <col min="7" max="7" width="20.42578125" bestFit="1" customWidth="1"/>
    <col min="8" max="8" width="21.5703125" bestFit="1" customWidth="1"/>
    <col min="9" max="9" width="17.42578125" bestFit="1" customWidth="1"/>
    <col min="10" max="10" width="14.28515625" bestFit="1" customWidth="1"/>
  </cols>
  <sheetData>
    <row r="1" spans="1:10" x14ac:dyDescent="0.25">
      <c r="A1" s="9" t="s">
        <v>26</v>
      </c>
    </row>
    <row r="2" spans="1:10" x14ac:dyDescent="0.25">
      <c r="A2" s="7" t="s">
        <v>13</v>
      </c>
      <c r="B2" s="7" t="s">
        <v>20</v>
      </c>
      <c r="C2" s="7" t="s">
        <v>16</v>
      </c>
      <c r="D2" s="7" t="s">
        <v>24</v>
      </c>
      <c r="E2" s="7" t="s">
        <v>19</v>
      </c>
      <c r="F2" s="7" t="s">
        <v>35</v>
      </c>
      <c r="G2" s="7" t="s">
        <v>17</v>
      </c>
      <c r="H2" s="7" t="s">
        <v>18</v>
      </c>
      <c r="I2" s="7" t="s">
        <v>14</v>
      </c>
      <c r="J2" s="7" t="s">
        <v>15</v>
      </c>
    </row>
    <row r="3" spans="1:10" x14ac:dyDescent="0.25">
      <c r="A3" s="5">
        <f>61.4312015503876/1000*B13/B12</f>
        <v>8.407893402401255E-2</v>
      </c>
      <c r="B3" s="5">
        <f>0.185*B13/B8</f>
        <v>0.27112068965517244</v>
      </c>
      <c r="C3" s="5">
        <f>284.548537011/1000</f>
        <v>0.28454853701100002</v>
      </c>
      <c r="D3" s="5">
        <f>83/1000*13.1*$B$13/$B$12</f>
        <v>1.4881529688024151</v>
      </c>
      <c r="E3" s="5">
        <f>15.6/1000*$B$13/$B$11</f>
        <v>2.0954074074074073E-2</v>
      </c>
      <c r="F3" s="5">
        <f>C3</f>
        <v>0.28454853701100002</v>
      </c>
      <c r="G3" s="5">
        <f>69.6/1000*$B$13/$B$11</f>
        <v>9.3487407407407408E-2</v>
      </c>
      <c r="H3" s="5">
        <f>56.4/1000*$B$13/$B$11</f>
        <v>7.5757037037037039E-2</v>
      </c>
      <c r="I3" s="12">
        <f>0.036/1000*$B$13/$B$11</f>
        <v>4.8355555555555546E-5</v>
      </c>
      <c r="J3" s="5">
        <v>0</v>
      </c>
    </row>
    <row r="4" spans="1:10" x14ac:dyDescent="0.25">
      <c r="A4" s="5">
        <f>48.65/1000*B13/B12</f>
        <v>6.6585709493458559E-2</v>
      </c>
      <c r="B4" s="5">
        <f>0.08*B13/B8</f>
        <v>0.11724137931034484</v>
      </c>
      <c r="C4" s="5">
        <f>192.58/1000</f>
        <v>0.19258</v>
      </c>
      <c r="D4" s="5">
        <f>59/1000*13.1*$B$13/$B$12</f>
        <v>1.0578436766185841</v>
      </c>
      <c r="E4" s="5">
        <f>15.6/1000*$B$13/$B$11</f>
        <v>2.0954074074074073E-2</v>
      </c>
      <c r="F4" s="5">
        <f>C4</f>
        <v>0.19258</v>
      </c>
      <c r="G4" s="5">
        <f>50.2/1000*$B$13/$B$11</f>
        <v>6.7429135802469134E-2</v>
      </c>
      <c r="H4" s="5">
        <f>54.3/1000*$B$13/$B$11</f>
        <v>7.2936296296296291E-2</v>
      </c>
      <c r="I4" s="12">
        <f>0.036/1000*$B$13/$B$11</f>
        <v>4.8355555555555546E-5</v>
      </c>
      <c r="J4" s="5">
        <v>0</v>
      </c>
    </row>
    <row r="5" spans="1:10" x14ac:dyDescent="0.25">
      <c r="A5" s="5">
        <f>85.45/1000*B13/B12</f>
        <v>0.11695270043609525</v>
      </c>
      <c r="B5" s="5">
        <f>0.29*B13/B8</f>
        <v>0.42499999999999999</v>
      </c>
      <c r="C5" s="5">
        <f>392.55/1000</f>
        <v>0.39255000000000001</v>
      </c>
      <c r="D5" s="5">
        <f>106/1000*13.1*$B$13/$B$12</f>
        <v>1.9005327071452529</v>
      </c>
      <c r="E5" s="5">
        <f>15.6/1000*$B$13/$B$11</f>
        <v>2.0954074074074073E-2</v>
      </c>
      <c r="F5" s="5">
        <f>C5</f>
        <v>0.39255000000000001</v>
      </c>
      <c r="G5" s="5">
        <f>112.4/1000*$B$13/$B$11</f>
        <v>0.1509767901234568</v>
      </c>
      <c r="H5" s="5">
        <f>100.7/1000*$B$13/$B$11</f>
        <v>0.13526123456790123</v>
      </c>
      <c r="I5" s="12">
        <f>0.036/1000*$B$13/$B$11</f>
        <v>4.8355555555555546E-5</v>
      </c>
      <c r="J5" s="5">
        <v>0</v>
      </c>
    </row>
    <row r="7" spans="1:10" x14ac:dyDescent="0.25">
      <c r="A7" s="6" t="s">
        <v>27</v>
      </c>
    </row>
    <row r="8" spans="1:10" x14ac:dyDescent="0.25">
      <c r="A8" s="2" t="s">
        <v>39</v>
      </c>
      <c r="B8" s="10">
        <v>556.79999999999995</v>
      </c>
    </row>
    <row r="9" spans="1:10" x14ac:dyDescent="0.25">
      <c r="A9" s="2" t="s">
        <v>28</v>
      </c>
      <c r="B9" s="10">
        <v>567.5</v>
      </c>
    </row>
    <row r="10" spans="1:10" x14ac:dyDescent="0.25">
      <c r="A10" s="2" t="s">
        <v>29</v>
      </c>
      <c r="B10" s="10">
        <v>603.1</v>
      </c>
    </row>
    <row r="11" spans="1:10" x14ac:dyDescent="0.25">
      <c r="A11" s="2" t="s">
        <v>30</v>
      </c>
      <c r="B11" s="10">
        <v>607.5</v>
      </c>
    </row>
    <row r="12" spans="1:10" x14ac:dyDescent="0.25">
      <c r="A12" s="2" t="s">
        <v>48</v>
      </c>
      <c r="B12" s="10">
        <v>596.20000000000005</v>
      </c>
    </row>
    <row r="13" spans="1:10" x14ac:dyDescent="0.25">
      <c r="A13" s="11" t="s">
        <v>31</v>
      </c>
      <c r="B13" s="10">
        <v>816</v>
      </c>
    </row>
    <row r="16" spans="1:10" x14ac:dyDescent="0.25">
      <c r="A16" s="6" t="s">
        <v>32</v>
      </c>
    </row>
    <row r="17" spans="1:2" x14ac:dyDescent="0.25">
      <c r="A17" s="13" t="s">
        <v>13</v>
      </c>
      <c r="B17" s="2" t="s">
        <v>37</v>
      </c>
    </row>
    <row r="18" spans="1:2" x14ac:dyDescent="0.25">
      <c r="A18" s="13" t="s">
        <v>20</v>
      </c>
      <c r="B18" s="2" t="s">
        <v>40</v>
      </c>
    </row>
    <row r="19" spans="1:2" x14ac:dyDescent="0.25">
      <c r="A19" s="13" t="s">
        <v>16</v>
      </c>
      <c r="B19" s="2" t="s">
        <v>34</v>
      </c>
    </row>
    <row r="20" spans="1:2" x14ac:dyDescent="0.25">
      <c r="A20" s="13" t="s">
        <v>24</v>
      </c>
      <c r="B20" s="2" t="s">
        <v>36</v>
      </c>
    </row>
    <row r="21" spans="1:2" x14ac:dyDescent="0.25">
      <c r="A21" s="13" t="s">
        <v>19</v>
      </c>
      <c r="B21" s="2" t="s">
        <v>33</v>
      </c>
    </row>
    <row r="22" spans="1:2" x14ac:dyDescent="0.25">
      <c r="A22" s="13" t="s">
        <v>25</v>
      </c>
      <c r="B22" s="2" t="s">
        <v>34</v>
      </c>
    </row>
    <row r="23" spans="1:2" x14ac:dyDescent="0.25">
      <c r="A23" s="13" t="s">
        <v>17</v>
      </c>
      <c r="B23" s="2" t="s">
        <v>33</v>
      </c>
    </row>
    <row r="24" spans="1:2" x14ac:dyDescent="0.25">
      <c r="A24" s="13" t="s">
        <v>18</v>
      </c>
      <c r="B24" s="2" t="s">
        <v>33</v>
      </c>
    </row>
    <row r="25" spans="1:2" x14ac:dyDescent="0.25">
      <c r="A25" s="13" t="s">
        <v>14</v>
      </c>
      <c r="B25" s="2" t="s">
        <v>33</v>
      </c>
    </row>
    <row r="26" spans="1:2" x14ac:dyDescent="0.25">
      <c r="A26" s="13" t="s">
        <v>15</v>
      </c>
      <c r="B26" s="2" t="s">
        <v>38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overall_2020</vt:lpstr>
      <vt:lpstr>overall_2020 (2)</vt:lpstr>
      <vt:lpstr>overall_combined</vt:lpstr>
      <vt:lpstr>mass_balance</vt:lpstr>
      <vt:lpstr>economics</vt:lpstr>
      <vt:lpstr>prices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2024-09-06T09:07:42Z</dcterms:modified>
</cp:coreProperties>
</file>