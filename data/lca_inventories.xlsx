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Acetylene production\data\"/>
    </mc:Choice>
  </mc:AlternateContent>
  <xr:revisionPtr revIDLastSave="0" documentId="13_ncr:1_{53A9F438-9509-4BC4-8E6D-EF5DFB564343}" xr6:coauthVersionLast="36" xr6:coauthVersionMax="36" xr10:uidLastSave="{00000000-0000-0000-0000-000000000000}"/>
  <bookViews>
    <workbookView xWindow="0" yWindow="0" windowWidth="21600" windowHeight="9510" xr2:uid="{89AA6949-EEAF-4F10-A54E-76C81F80051F}"/>
  </bookViews>
  <sheets>
    <sheet name="calcium_carbide" sheetId="1" r:id="rId1"/>
    <sheet name="partial_oxidation" sheetId="3" r:id="rId2"/>
    <sheet name="hot_plasma" sheetId="4" r:id="rId3"/>
    <sheet name="cold_plasma" sheetId="5" r:id="rId4"/>
    <sheet name="thermal_pyrolysis" sheetId="6" r:id="rId5"/>
    <sheet name="acetylene_VCM" sheetId="7" r:id="rId6"/>
    <sheet name="ethylene_VCM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7" l="1"/>
  <c r="D16" i="8" l="1"/>
  <c r="D15" i="8"/>
  <c r="D12" i="8" l="1"/>
  <c r="D11" i="8"/>
  <c r="D10" i="8"/>
  <c r="D14" i="8"/>
  <c r="D9" i="8"/>
  <c r="C9" i="7"/>
  <c r="C8" i="7"/>
  <c r="C11" i="7"/>
  <c r="D11" i="7" s="1"/>
  <c r="C6" i="7"/>
  <c r="C5" i="7"/>
  <c r="D5" i="8" l="1"/>
  <c r="D6" i="8"/>
  <c r="D7" i="8"/>
  <c r="D8" i="8"/>
  <c r="D6" i="7"/>
  <c r="D8" i="7"/>
  <c r="D7" i="7"/>
  <c r="D9" i="7"/>
  <c r="D5" i="7"/>
  <c r="C6" i="6"/>
  <c r="B21" i="6" l="1"/>
  <c r="C5" i="6"/>
  <c r="F13" i="6"/>
  <c r="C20" i="6" l="1"/>
  <c r="E20" i="6" s="1"/>
  <c r="G20" i="6" s="1"/>
  <c r="C19" i="6"/>
  <c r="E19" i="6" s="1"/>
  <c r="G19" i="6" s="1"/>
  <c r="C18" i="6"/>
  <c r="E18" i="6" s="1"/>
  <c r="G18" i="6" s="1"/>
  <c r="C17" i="6"/>
  <c r="E17" i="6" s="1"/>
  <c r="G17" i="6" s="1"/>
  <c r="C16" i="6"/>
  <c r="E16" i="6" s="1"/>
  <c r="G16" i="6" s="1"/>
  <c r="C15" i="6"/>
  <c r="E15" i="6" s="1"/>
  <c r="G15" i="6" s="1"/>
  <c r="C14" i="6"/>
  <c r="E14" i="6" s="1"/>
  <c r="C13" i="6"/>
  <c r="E13" i="6" s="1"/>
  <c r="G13" i="6" s="1"/>
  <c r="D8" i="5"/>
  <c r="D6" i="5"/>
  <c r="D5" i="5"/>
  <c r="G14" i="6" l="1"/>
  <c r="G21" i="6" s="1"/>
  <c r="H14" i="6" s="1"/>
  <c r="C8" i="6"/>
  <c r="D8" i="6" l="1"/>
  <c r="D5" i="6"/>
  <c r="E5" i="6" s="1"/>
  <c r="D6" i="6"/>
  <c r="E6" i="6" s="1"/>
  <c r="H20" i="6"/>
  <c r="H13" i="6"/>
  <c r="H19" i="6"/>
  <c r="H16" i="6"/>
  <c r="H17" i="6"/>
  <c r="H18" i="6"/>
  <c r="H15" i="6"/>
  <c r="H21" i="6" l="1"/>
  <c r="C16" i="4" l="1"/>
  <c r="D16" i="4" s="1"/>
  <c r="E16" i="4" s="1"/>
  <c r="C15" i="4"/>
  <c r="D15" i="4" s="1"/>
  <c r="E15" i="4" s="1"/>
  <c r="C14" i="4"/>
  <c r="D14" i="4" s="1"/>
  <c r="E14" i="4" s="1"/>
  <c r="C13" i="4"/>
  <c r="D13" i="4" s="1"/>
  <c r="E13" i="4" s="1"/>
  <c r="C9" i="4"/>
  <c r="D9" i="4" s="1"/>
  <c r="E9" i="4" s="1"/>
  <c r="C8" i="4"/>
  <c r="D8" i="4" s="1"/>
  <c r="E8" i="4" s="1"/>
  <c r="D12" i="4"/>
  <c r="D11" i="4"/>
  <c r="D7" i="4"/>
  <c r="E7" i="4" s="1"/>
  <c r="D6" i="4"/>
  <c r="E6" i="4" s="1"/>
  <c r="D5" i="4"/>
  <c r="E5" i="4" s="1"/>
  <c r="D12" i="3"/>
  <c r="D6" i="3"/>
  <c r="E6" i="3" s="1"/>
  <c r="D7" i="3"/>
  <c r="E7" i="3" s="1"/>
  <c r="D5" i="3"/>
  <c r="E5" i="3" s="1"/>
  <c r="C17" i="3"/>
  <c r="C16" i="3"/>
  <c r="C15" i="3"/>
  <c r="C14" i="3"/>
  <c r="C13" i="3"/>
  <c r="C9" i="3"/>
  <c r="C8" i="3"/>
  <c r="D11" i="3"/>
  <c r="I13" i="1"/>
  <c r="I12" i="1"/>
  <c r="I7" i="1"/>
  <c r="I8" i="1"/>
  <c r="I9" i="1"/>
  <c r="I10" i="1"/>
  <c r="H6" i="1"/>
  <c r="I6" i="1" s="1"/>
  <c r="H5" i="1"/>
  <c r="I5" i="1" s="1"/>
  <c r="C18" i="1"/>
  <c r="C17" i="1"/>
  <c r="C16" i="1"/>
  <c r="C15" i="1"/>
  <c r="C14" i="1"/>
  <c r="D7" i="1" s="1"/>
  <c r="C10" i="1"/>
  <c r="C6" i="1"/>
  <c r="C5" i="1"/>
  <c r="D16" i="3" l="1"/>
  <c r="E16" i="3" s="1"/>
  <c r="D17" i="3"/>
  <c r="E17" i="3" s="1"/>
  <c r="D13" i="3"/>
  <c r="E13" i="3" s="1"/>
  <c r="D8" i="3"/>
  <c r="E8" i="3" s="1"/>
  <c r="D9" i="3"/>
  <c r="E9" i="3" s="1"/>
  <c r="D14" i="3"/>
  <c r="E14" i="3" s="1"/>
  <c r="D15" i="3"/>
  <c r="E15" i="3" s="1"/>
  <c r="D10" i="1"/>
  <c r="D6" i="1"/>
  <c r="D12" i="1"/>
  <c r="D14" i="1"/>
  <c r="D5" i="1"/>
  <c r="D16" i="1"/>
  <c r="D11" i="1"/>
  <c r="D9" i="1"/>
  <c r="D8" i="1"/>
  <c r="D17" i="1"/>
  <c r="D15" i="1"/>
  <c r="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Nabera  Abhinandan</author>
  </authors>
  <commentList>
    <comment ref="C7" authorId="0" shapeId="0" xr:uid="{7B7DF5DC-CA91-43B4-82A1-4315D89B756E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changed to 12100 - from Zihao.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Nabera  Abhinandan</author>
  </authors>
  <commentList>
    <comment ref="E4" authorId="0" shapeId="0" xr:uid="{EECA9EC7-ADAF-4B69-AAA7-388058369C31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going for an economic allocation between ethylene and acetylene only as they are the main products.</t>
        </r>
      </text>
    </comment>
  </commentList>
</comments>
</file>

<file path=xl/sharedStrings.xml><?xml version="1.0" encoding="utf-8"?>
<sst xmlns="http://schemas.openxmlformats.org/spreadsheetml/2006/main" count="227" uniqueCount="79">
  <si>
    <t>Calcium carbide production</t>
  </si>
  <si>
    <t>Input</t>
  </si>
  <si>
    <t>Component</t>
  </si>
  <si>
    <t>Unit</t>
  </si>
  <si>
    <t>Amount</t>
  </si>
  <si>
    <t>Amount per kg calcium carbide</t>
  </si>
  <si>
    <t>Limestone</t>
  </si>
  <si>
    <t>Coke</t>
  </si>
  <si>
    <t>Electrode paste</t>
  </si>
  <si>
    <t>Iron sheet</t>
  </si>
  <si>
    <t>Electricity</t>
  </si>
  <si>
    <t>Water</t>
  </si>
  <si>
    <t>Compressed air</t>
  </si>
  <si>
    <t>Nitrogen</t>
  </si>
  <si>
    <t>Output</t>
  </si>
  <si>
    <t>Calcium carbide</t>
  </si>
  <si>
    <t>Particle matter</t>
  </si>
  <si>
    <t>Sodium dioxide</t>
  </si>
  <si>
    <t>Nitrogen oxides</t>
  </si>
  <si>
    <t>Carbon dioxide</t>
  </si>
  <si>
    <t>kg</t>
  </si>
  <si>
    <t>kWh</t>
  </si>
  <si>
    <r>
      <t>Nm</t>
    </r>
    <r>
      <rPr>
        <vertAlign val="superscript"/>
        <sz val="11"/>
        <color theme="1"/>
        <rFont val="Calibri"/>
        <family val="2"/>
        <scheme val="minor"/>
      </rPr>
      <t>3</t>
    </r>
  </si>
  <si>
    <t>Acetylene production</t>
  </si>
  <si>
    <t>Sodium hypochlorite</t>
  </si>
  <si>
    <t>Sodium hydroxide</t>
  </si>
  <si>
    <t>Acetylene</t>
  </si>
  <si>
    <t>VOC</t>
  </si>
  <si>
    <t>Amount per kg acetylene</t>
  </si>
  <si>
    <t>Natural gas</t>
  </si>
  <si>
    <t>NMP</t>
  </si>
  <si>
    <t>Steam</t>
  </si>
  <si>
    <t>Syngas</t>
  </si>
  <si>
    <t>NMVOC</t>
  </si>
  <si>
    <t>Hydrogen</t>
  </si>
  <si>
    <t>62% allocation to acetylene</t>
  </si>
  <si>
    <t>-</t>
  </si>
  <si>
    <t>70.9% allocation to acetylene</t>
  </si>
  <si>
    <r>
      <t>Nm</t>
    </r>
    <r>
      <rPr>
        <vertAlign val="superscript"/>
        <sz val="11"/>
        <color rgb="FFFF0000"/>
        <rFont val="Calibri"/>
        <family val="2"/>
        <scheme val="minor"/>
      </rPr>
      <t>3</t>
    </r>
  </si>
  <si>
    <t>Ethylene</t>
  </si>
  <si>
    <t>Ethane</t>
  </si>
  <si>
    <t>Propane</t>
  </si>
  <si>
    <t>Propylene</t>
  </si>
  <si>
    <t>Benzene</t>
  </si>
  <si>
    <t>Naphthalene</t>
  </si>
  <si>
    <t>Propyne</t>
  </si>
  <si>
    <t>Conversion [%]</t>
  </si>
  <si>
    <t>Selectivity [%]</t>
  </si>
  <si>
    <t>Economic allocation [%]</t>
  </si>
  <si>
    <t>Temperature [°C]</t>
  </si>
  <si>
    <t>Flow out [kg]</t>
  </si>
  <si>
    <t>Flow out [kmol]</t>
  </si>
  <si>
    <t>Molar mass [kg per kmol]</t>
  </si>
  <si>
    <t>Input methane [kmol]</t>
  </si>
  <si>
    <t>CEPCI 2015</t>
  </si>
  <si>
    <t>CEPCI 2022</t>
  </si>
  <si>
    <t>Price [USD per t]</t>
  </si>
  <si>
    <t>Total value [USD]</t>
  </si>
  <si>
    <t>Reference</t>
  </si>
  <si>
    <t>https://pubs.acs.org/doi/10.1021/acs.iecr.8b05277</t>
  </si>
  <si>
    <t>https://businessanalytiq.com/procurementanalytics/index/acetylene-prices/</t>
  </si>
  <si>
    <t>https://www.echemi.com/products/pid_Rock16623-1-propyne.html</t>
  </si>
  <si>
    <t>https://businessanalytiq.com/procurementanalytics/index/propane-price-index/</t>
  </si>
  <si>
    <t>https://businessanalytiq.com/procurementanalytics/index/benzene-price-index/</t>
  </si>
  <si>
    <t>https://businessanalytiq.com/procurementanalytics/index/naphthalene-price-index/</t>
  </si>
  <si>
    <t>Natural gas for heating</t>
  </si>
  <si>
    <t>38.5% allocation to acetylene</t>
  </si>
  <si>
    <t>MJ</t>
  </si>
  <si>
    <t>VCM production</t>
  </si>
  <si>
    <t>HCl</t>
  </si>
  <si>
    <t>VCM</t>
  </si>
  <si>
    <t>Cooling water</t>
  </si>
  <si>
    <t>Chlorine</t>
  </si>
  <si>
    <t>Oxygen</t>
  </si>
  <si>
    <t>Refrigeration to -50 °C</t>
  </si>
  <si>
    <t>Refrigeration to -25 °C</t>
  </si>
  <si>
    <t>Carbon dioxide to air</t>
  </si>
  <si>
    <t>Water to water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</si>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</sst>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E+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3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1" fontId="0" fillId="2" borderId="1" xfId="0" applyNumberForma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1" fontId="3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/>
    <xf numFmtId="165" fontId="1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E5BC-A8DC-43A6-89CF-2A02535129E3}">
  <dimension ref="A2:I18"/>
  <sheetViews>
    <sheetView tabSelected="1" zoomScale="160" zoomScaleNormal="160" workbookViewId="0">
      <selection activeCell="H15" sqref="H15"/>
    </sheetView>
  </sheetViews>
  <sheetFormatPr defaultRowHeight="15" x14ac:dyDescent="0.25"/>
  <cols>
    <col min="1" max="1" width="15.28515625" bestFit="1" customWidth="1"/>
    <col min="2" max="2" width="5" bestFit="1" customWidth="1"/>
    <col min="3" max="3" width="10.42578125" bestFit="1" customWidth="1"/>
    <col min="4" max="4" width="28.7109375" bestFit="1" customWidth="1"/>
    <col min="6" max="6" width="19.7109375" bestFit="1" customWidth="1"/>
    <col min="7" max="7" width="5" bestFit="1" customWidth="1"/>
    <col min="8" max="8" width="9.28515625" bestFit="1" customWidth="1"/>
    <col min="9" max="9" width="23.5703125" bestFit="1" customWidth="1"/>
  </cols>
  <sheetData>
    <row r="2" spans="1:9" x14ac:dyDescent="0.25">
      <c r="A2" s="41" t="s">
        <v>0</v>
      </c>
      <c r="B2" s="41"/>
      <c r="C2" s="41"/>
      <c r="D2" s="41"/>
      <c r="F2" s="41" t="s">
        <v>23</v>
      </c>
      <c r="G2" s="41"/>
      <c r="H2" s="41"/>
      <c r="I2" s="41"/>
    </row>
    <row r="3" spans="1:9" x14ac:dyDescent="0.25">
      <c r="A3" s="6" t="s">
        <v>2</v>
      </c>
      <c r="B3" s="6" t="s">
        <v>3</v>
      </c>
      <c r="C3" s="6" t="s">
        <v>4</v>
      </c>
      <c r="D3" s="6" t="s">
        <v>5</v>
      </c>
      <c r="F3" s="6" t="s">
        <v>2</v>
      </c>
      <c r="G3" s="6" t="s">
        <v>3</v>
      </c>
      <c r="H3" s="6" t="s">
        <v>4</v>
      </c>
      <c r="I3" s="6" t="s">
        <v>28</v>
      </c>
    </row>
    <row r="4" spans="1:9" x14ac:dyDescent="0.25">
      <c r="A4" s="41" t="s">
        <v>1</v>
      </c>
      <c r="B4" s="41"/>
      <c r="C4" s="41"/>
      <c r="D4" s="41"/>
      <c r="F4" s="41" t="s">
        <v>1</v>
      </c>
      <c r="G4" s="41"/>
      <c r="H4" s="41"/>
      <c r="I4" s="41"/>
    </row>
    <row r="5" spans="1:9" x14ac:dyDescent="0.25">
      <c r="A5" s="8" t="s">
        <v>6</v>
      </c>
      <c r="B5" s="2" t="s">
        <v>20</v>
      </c>
      <c r="C5" s="3">
        <f>5*1000</f>
        <v>5000</v>
      </c>
      <c r="D5" s="3">
        <f>C5/$C$14</f>
        <v>1.6129032258064515</v>
      </c>
      <c r="F5" s="8" t="s">
        <v>15</v>
      </c>
      <c r="G5" s="2" t="s">
        <v>20</v>
      </c>
      <c r="H5" s="3">
        <f>3.1*1000</f>
        <v>3100</v>
      </c>
      <c r="I5" s="3">
        <f>H5/$H$12</f>
        <v>3.1</v>
      </c>
    </row>
    <row r="6" spans="1:9" x14ac:dyDescent="0.25">
      <c r="A6" s="8" t="s">
        <v>7</v>
      </c>
      <c r="B6" s="2" t="s">
        <v>20</v>
      </c>
      <c r="C6" s="3">
        <f>2*1000</f>
        <v>2000</v>
      </c>
      <c r="D6" s="3">
        <f t="shared" ref="D6:D12" si="0">C6/$C$14</f>
        <v>0.64516129032258063</v>
      </c>
      <c r="F6" s="8" t="s">
        <v>11</v>
      </c>
      <c r="G6" s="2" t="s">
        <v>20</v>
      </c>
      <c r="H6" s="3">
        <f>6.2*1000</f>
        <v>6200</v>
      </c>
      <c r="I6" s="3">
        <f t="shared" ref="I6:I13" si="1">H6/$H$12</f>
        <v>6.2</v>
      </c>
    </row>
    <row r="7" spans="1:9" x14ac:dyDescent="0.25">
      <c r="A7" s="9" t="s">
        <v>8</v>
      </c>
      <c r="B7" s="4" t="s">
        <v>20</v>
      </c>
      <c r="C7" s="5">
        <v>78.599999999999994</v>
      </c>
      <c r="D7" s="5">
        <f t="shared" si="0"/>
        <v>2.5354838709677419E-2</v>
      </c>
      <c r="F7" s="8" t="s">
        <v>24</v>
      </c>
      <c r="G7" s="2" t="s">
        <v>20</v>
      </c>
      <c r="H7" s="3">
        <v>46.9</v>
      </c>
      <c r="I7" s="3">
        <f t="shared" si="1"/>
        <v>4.6899999999999997E-2</v>
      </c>
    </row>
    <row r="8" spans="1:9" x14ac:dyDescent="0.25">
      <c r="A8" s="9" t="s">
        <v>9</v>
      </c>
      <c r="B8" s="4" t="s">
        <v>20</v>
      </c>
      <c r="C8" s="5">
        <v>7.9</v>
      </c>
      <c r="D8" s="5">
        <f t="shared" si="0"/>
        <v>2.5483870967741937E-3</v>
      </c>
      <c r="F8" s="8" t="s">
        <v>25</v>
      </c>
      <c r="G8" s="2" t="s">
        <v>20</v>
      </c>
      <c r="H8" s="3">
        <v>1.6</v>
      </c>
      <c r="I8" s="3">
        <f t="shared" si="1"/>
        <v>1.6000000000000001E-3</v>
      </c>
    </row>
    <row r="9" spans="1:9" x14ac:dyDescent="0.25">
      <c r="A9" s="8" t="s">
        <v>10</v>
      </c>
      <c r="B9" s="2" t="s">
        <v>21</v>
      </c>
      <c r="C9" s="3">
        <v>10299.700000000001</v>
      </c>
      <c r="D9" s="3">
        <f t="shared" si="0"/>
        <v>3.322483870967742</v>
      </c>
      <c r="F9" s="8" t="s">
        <v>10</v>
      </c>
      <c r="G9" s="2" t="s">
        <v>21</v>
      </c>
      <c r="H9" s="3">
        <v>505.1</v>
      </c>
      <c r="I9" s="3">
        <f t="shared" si="1"/>
        <v>0.50509999999999999</v>
      </c>
    </row>
    <row r="10" spans="1:9" ht="17.25" x14ac:dyDescent="0.25">
      <c r="A10" s="8" t="s">
        <v>11</v>
      </c>
      <c r="B10" s="2" t="s">
        <v>20</v>
      </c>
      <c r="C10" s="3">
        <f>6.3*1000</f>
        <v>6300</v>
      </c>
      <c r="D10" s="3">
        <f t="shared" si="0"/>
        <v>2.032258064516129</v>
      </c>
      <c r="F10" s="8" t="s">
        <v>13</v>
      </c>
      <c r="G10" s="2" t="s">
        <v>22</v>
      </c>
      <c r="H10" s="3">
        <v>66</v>
      </c>
      <c r="I10" s="3">
        <f t="shared" si="1"/>
        <v>6.6000000000000003E-2</v>
      </c>
    </row>
    <row r="11" spans="1:9" ht="17.25" x14ac:dyDescent="0.25">
      <c r="A11" s="8" t="s">
        <v>12</v>
      </c>
      <c r="B11" s="2" t="s">
        <v>22</v>
      </c>
      <c r="C11" s="3">
        <v>168.2</v>
      </c>
      <c r="D11" s="3">
        <f t="shared" si="0"/>
        <v>5.425806451612903E-2</v>
      </c>
      <c r="F11" s="41" t="s">
        <v>14</v>
      </c>
      <c r="G11" s="41"/>
      <c r="H11" s="41"/>
      <c r="I11" s="41"/>
    </row>
    <row r="12" spans="1:9" ht="17.25" x14ac:dyDescent="0.25">
      <c r="A12" s="8" t="s">
        <v>13</v>
      </c>
      <c r="B12" s="2" t="s">
        <v>22</v>
      </c>
      <c r="C12" s="3">
        <v>141.5</v>
      </c>
      <c r="D12" s="3">
        <f t="shared" si="0"/>
        <v>4.5645161290322582E-2</v>
      </c>
      <c r="F12" s="10" t="s">
        <v>26</v>
      </c>
      <c r="G12" s="11" t="s">
        <v>20</v>
      </c>
      <c r="H12" s="12">
        <v>1000</v>
      </c>
      <c r="I12" s="12">
        <f t="shared" si="1"/>
        <v>1</v>
      </c>
    </row>
    <row r="13" spans="1:9" x14ac:dyDescent="0.25">
      <c r="A13" s="41" t="s">
        <v>14</v>
      </c>
      <c r="B13" s="41"/>
      <c r="C13" s="41"/>
      <c r="D13" s="41"/>
      <c r="F13" s="8" t="s">
        <v>27</v>
      </c>
      <c r="G13" s="2" t="s">
        <v>20</v>
      </c>
      <c r="H13" s="3">
        <v>324.2</v>
      </c>
      <c r="I13" s="3">
        <f t="shared" si="1"/>
        <v>0.32419999999999999</v>
      </c>
    </row>
    <row r="14" spans="1:9" x14ac:dyDescent="0.25">
      <c r="A14" s="10" t="s">
        <v>15</v>
      </c>
      <c r="B14" s="11" t="s">
        <v>20</v>
      </c>
      <c r="C14" s="12">
        <f>3.1*1000</f>
        <v>3100</v>
      </c>
      <c r="D14" s="12">
        <f t="shared" ref="D14:D18" si="2">C14/$C$14</f>
        <v>1</v>
      </c>
    </row>
    <row r="15" spans="1:9" x14ac:dyDescent="0.25">
      <c r="A15" s="8" t="s">
        <v>16</v>
      </c>
      <c r="B15" s="2" t="s">
        <v>20</v>
      </c>
      <c r="C15" s="3">
        <f>505.3/1000</f>
        <v>0.50529999999999997</v>
      </c>
      <c r="D15" s="13">
        <f t="shared" si="2"/>
        <v>1.6299999999999998E-4</v>
      </c>
    </row>
    <row r="16" spans="1:9" x14ac:dyDescent="0.25">
      <c r="A16" s="14" t="s">
        <v>17</v>
      </c>
      <c r="B16" s="15" t="s">
        <v>20</v>
      </c>
      <c r="C16" s="17">
        <f>1404.1/1000</f>
        <v>1.4040999999999999</v>
      </c>
      <c r="D16" s="18">
        <f t="shared" si="2"/>
        <v>4.5293548387096772E-4</v>
      </c>
    </row>
    <row r="17" spans="1:4" x14ac:dyDescent="0.25">
      <c r="A17" s="8" t="s">
        <v>18</v>
      </c>
      <c r="B17" s="2" t="s">
        <v>20</v>
      </c>
      <c r="C17" s="3">
        <f>780.1/1000</f>
        <v>0.78010000000000002</v>
      </c>
      <c r="D17" s="13">
        <f t="shared" si="2"/>
        <v>2.5164516129032256E-4</v>
      </c>
    </row>
    <row r="18" spans="1:4" x14ac:dyDescent="0.25">
      <c r="A18" s="8" t="s">
        <v>19</v>
      </c>
      <c r="B18" s="2" t="s">
        <v>20</v>
      </c>
      <c r="C18" s="3">
        <f>3.6*1000</f>
        <v>3600</v>
      </c>
      <c r="D18" s="3">
        <f t="shared" si="2"/>
        <v>1.1612903225806452</v>
      </c>
    </row>
  </sheetData>
  <mergeCells count="6">
    <mergeCell ref="A2:D2"/>
    <mergeCell ref="A4:D4"/>
    <mergeCell ref="A13:D13"/>
    <mergeCell ref="F2:I2"/>
    <mergeCell ref="F4:I4"/>
    <mergeCell ref="F11:I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30A2-69E3-43AB-8052-66AF900D4CCB}">
  <dimension ref="A2:E17"/>
  <sheetViews>
    <sheetView zoomScale="130" zoomScaleNormal="130" workbookViewId="0">
      <selection activeCell="D22" sqref="D22"/>
    </sheetView>
  </sheetViews>
  <sheetFormatPr defaultRowHeight="15" x14ac:dyDescent="0.25"/>
  <cols>
    <col min="1" max="1" width="15.28515625" bestFit="1" customWidth="1"/>
    <col min="2" max="2" width="5" bestFit="1" customWidth="1"/>
    <col min="3" max="3" width="9.28515625" bestFit="1" customWidth="1"/>
    <col min="4" max="4" width="23.5703125" bestFit="1" customWidth="1"/>
    <col min="5" max="5" width="25.7109375" bestFit="1" customWidth="1"/>
  </cols>
  <sheetData>
    <row r="2" spans="1:5" x14ac:dyDescent="0.25">
      <c r="A2" s="41" t="s">
        <v>23</v>
      </c>
      <c r="B2" s="41"/>
      <c r="C2" s="41"/>
      <c r="D2" s="41"/>
    </row>
    <row r="3" spans="1:5" x14ac:dyDescent="0.25">
      <c r="A3" s="6" t="s">
        <v>2</v>
      </c>
      <c r="B3" s="6" t="s">
        <v>3</v>
      </c>
      <c r="C3" s="6" t="s">
        <v>4</v>
      </c>
      <c r="D3" s="6" t="s">
        <v>28</v>
      </c>
    </row>
    <row r="4" spans="1:5" x14ac:dyDescent="0.25">
      <c r="A4" s="41" t="s">
        <v>1</v>
      </c>
      <c r="B4" s="41"/>
      <c r="C4" s="41"/>
      <c r="D4" s="41"/>
      <c r="E4" s="6" t="s">
        <v>35</v>
      </c>
    </row>
    <row r="5" spans="1:5" ht="17.25" x14ac:dyDescent="0.25">
      <c r="A5" s="8" t="s">
        <v>29</v>
      </c>
      <c r="B5" s="2" t="s">
        <v>22</v>
      </c>
      <c r="C5" s="3">
        <v>5740</v>
      </c>
      <c r="D5" s="3">
        <f>C5/$C$11</f>
        <v>5.74</v>
      </c>
      <c r="E5" s="3">
        <f>D5*0.62</f>
        <v>3.5588000000000002</v>
      </c>
    </row>
    <row r="6" spans="1:5" x14ac:dyDescent="0.25">
      <c r="A6" s="8" t="s">
        <v>30</v>
      </c>
      <c r="B6" s="2" t="s">
        <v>20</v>
      </c>
      <c r="C6" s="3">
        <v>7.5</v>
      </c>
      <c r="D6" s="3">
        <f t="shared" ref="D6:D9" si="0">C6/$C$11</f>
        <v>7.4999999999999997E-3</v>
      </c>
      <c r="E6" s="3">
        <f t="shared" ref="E6:E9" si="1">D6*0.62</f>
        <v>4.6499999999999996E-3</v>
      </c>
    </row>
    <row r="7" spans="1:5" x14ac:dyDescent="0.25">
      <c r="A7" s="8" t="s">
        <v>10</v>
      </c>
      <c r="B7" s="2" t="s">
        <v>21</v>
      </c>
      <c r="C7" s="3">
        <v>3298</v>
      </c>
      <c r="D7" s="3">
        <f t="shared" si="0"/>
        <v>3.298</v>
      </c>
      <c r="E7" s="3">
        <f t="shared" si="1"/>
        <v>2.0447600000000001</v>
      </c>
    </row>
    <row r="8" spans="1:5" x14ac:dyDescent="0.25">
      <c r="A8" s="8" t="s">
        <v>31</v>
      </c>
      <c r="B8" s="2" t="s">
        <v>20</v>
      </c>
      <c r="C8" s="3">
        <f>4.5*1000</f>
        <v>4500</v>
      </c>
      <c r="D8" s="3">
        <f t="shared" si="0"/>
        <v>4.5</v>
      </c>
      <c r="E8" s="3">
        <f t="shared" si="1"/>
        <v>2.79</v>
      </c>
    </row>
    <row r="9" spans="1:5" x14ac:dyDescent="0.25">
      <c r="A9" s="8" t="s">
        <v>11</v>
      </c>
      <c r="B9" s="2" t="s">
        <v>20</v>
      </c>
      <c r="C9" s="3">
        <f>3.1*1000</f>
        <v>3100</v>
      </c>
      <c r="D9" s="3">
        <f t="shared" si="0"/>
        <v>3.1</v>
      </c>
      <c r="E9" s="3">
        <f t="shared" si="1"/>
        <v>1.9219999999999999</v>
      </c>
    </row>
    <row r="10" spans="1:5" x14ac:dyDescent="0.25">
      <c r="A10" s="41" t="s">
        <v>14</v>
      </c>
      <c r="B10" s="41"/>
      <c r="C10" s="41"/>
      <c r="D10" s="41"/>
      <c r="E10" s="1"/>
    </row>
    <row r="11" spans="1:5" x14ac:dyDescent="0.25">
      <c r="A11" s="10" t="s">
        <v>26</v>
      </c>
      <c r="B11" s="11" t="s">
        <v>20</v>
      </c>
      <c r="C11" s="12">
        <v>1000</v>
      </c>
      <c r="D11" s="12">
        <f>C11/$C$11</f>
        <v>1</v>
      </c>
      <c r="E11" s="12" t="s">
        <v>36</v>
      </c>
    </row>
    <row r="12" spans="1:5" ht="17.25" x14ac:dyDescent="0.25">
      <c r="A12" s="9" t="s">
        <v>32</v>
      </c>
      <c r="B12" s="4" t="s">
        <v>38</v>
      </c>
      <c r="C12" s="5">
        <v>8750</v>
      </c>
      <c r="D12" s="5">
        <f t="shared" ref="D12:D17" si="2">C12/$C$11</f>
        <v>8.75</v>
      </c>
      <c r="E12" s="5" t="s">
        <v>36</v>
      </c>
    </row>
    <row r="13" spans="1:5" x14ac:dyDescent="0.25">
      <c r="A13" s="8" t="s">
        <v>19</v>
      </c>
      <c r="B13" s="2" t="s">
        <v>20</v>
      </c>
      <c r="C13" s="3">
        <f>0.8*1000</f>
        <v>800</v>
      </c>
      <c r="D13" s="3">
        <f t="shared" si="2"/>
        <v>0.8</v>
      </c>
      <c r="E13" s="3">
        <f t="shared" ref="E13:E17" si="3">D13*0.62</f>
        <v>0.496</v>
      </c>
    </row>
    <row r="14" spans="1:5" x14ac:dyDescent="0.25">
      <c r="A14" s="8" t="s">
        <v>16</v>
      </c>
      <c r="B14" s="2" t="s">
        <v>20</v>
      </c>
      <c r="C14" s="3">
        <f>250.8/1000</f>
        <v>0.25080000000000002</v>
      </c>
      <c r="D14" s="13">
        <f t="shared" si="2"/>
        <v>2.5080000000000002E-4</v>
      </c>
      <c r="E14" s="13">
        <f t="shared" si="3"/>
        <v>1.55496E-4</v>
      </c>
    </row>
    <row r="15" spans="1:5" x14ac:dyDescent="0.25">
      <c r="A15" s="14" t="s">
        <v>17</v>
      </c>
      <c r="B15" s="15" t="s">
        <v>20</v>
      </c>
      <c r="C15" s="5">
        <f>64.5/1000</f>
        <v>6.4500000000000002E-2</v>
      </c>
      <c r="D15" s="16">
        <f t="shared" si="2"/>
        <v>6.4499999999999996E-5</v>
      </c>
      <c r="E15" s="16">
        <f t="shared" si="3"/>
        <v>3.9989999999999995E-5</v>
      </c>
    </row>
    <row r="16" spans="1:5" x14ac:dyDescent="0.25">
      <c r="A16" s="8" t="s">
        <v>18</v>
      </c>
      <c r="B16" s="2" t="s">
        <v>20</v>
      </c>
      <c r="C16" s="3">
        <f>476.8/1000</f>
        <v>0.4768</v>
      </c>
      <c r="D16" s="13">
        <f t="shared" si="2"/>
        <v>4.7679999999999999E-4</v>
      </c>
      <c r="E16" s="13">
        <f t="shared" si="3"/>
        <v>2.9561600000000001E-4</v>
      </c>
    </row>
    <row r="17" spans="1:5" x14ac:dyDescent="0.25">
      <c r="A17" s="8" t="s">
        <v>33</v>
      </c>
      <c r="B17" s="2" t="s">
        <v>20</v>
      </c>
      <c r="C17" s="3">
        <f>30/1000</f>
        <v>0.03</v>
      </c>
      <c r="D17" s="13">
        <f t="shared" si="2"/>
        <v>2.9999999999999997E-5</v>
      </c>
      <c r="E17" s="13">
        <f t="shared" si="3"/>
        <v>1.8599999999999998E-5</v>
      </c>
    </row>
  </sheetData>
  <mergeCells count="3">
    <mergeCell ref="A10:D10"/>
    <mergeCell ref="A4:D4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B776-97F7-49F8-8DE1-29D3C89EEEA7}">
  <dimension ref="A2:E16"/>
  <sheetViews>
    <sheetView zoomScale="130" zoomScaleNormal="130" workbookViewId="0">
      <selection activeCell="H19" sqref="H19"/>
    </sheetView>
  </sheetViews>
  <sheetFormatPr defaultRowHeight="15" x14ac:dyDescent="0.25"/>
  <cols>
    <col min="1" max="1" width="15.28515625" bestFit="1" customWidth="1"/>
    <col min="2" max="2" width="5" bestFit="1" customWidth="1"/>
    <col min="3" max="3" width="10.42578125" bestFit="1" customWidth="1"/>
    <col min="4" max="4" width="23.5703125" bestFit="1" customWidth="1"/>
    <col min="5" max="5" width="27.28515625" bestFit="1" customWidth="1"/>
  </cols>
  <sheetData>
    <row r="2" spans="1:5" x14ac:dyDescent="0.25">
      <c r="A2" s="41" t="s">
        <v>23</v>
      </c>
      <c r="B2" s="41"/>
      <c r="C2" s="41"/>
      <c r="D2" s="41"/>
    </row>
    <row r="3" spans="1:5" x14ac:dyDescent="0.25">
      <c r="A3" s="6" t="s">
        <v>2</v>
      </c>
      <c r="B3" s="6" t="s">
        <v>3</v>
      </c>
      <c r="C3" s="6" t="s">
        <v>4</v>
      </c>
      <c r="D3" s="6" t="s">
        <v>28</v>
      </c>
    </row>
    <row r="4" spans="1:5" x14ac:dyDescent="0.25">
      <c r="A4" s="41" t="s">
        <v>1</v>
      </c>
      <c r="B4" s="41"/>
      <c r="C4" s="41"/>
      <c r="D4" s="41"/>
      <c r="E4" s="6" t="s">
        <v>37</v>
      </c>
    </row>
    <row r="5" spans="1:5" ht="17.25" x14ac:dyDescent="0.25">
      <c r="A5" s="8" t="s">
        <v>29</v>
      </c>
      <c r="B5" s="2" t="s">
        <v>22</v>
      </c>
      <c r="C5" s="3">
        <v>2000</v>
      </c>
      <c r="D5" s="3">
        <f>C5/$C$11</f>
        <v>2</v>
      </c>
      <c r="E5" s="3">
        <f>D5*0.709</f>
        <v>1.4179999999999999</v>
      </c>
    </row>
    <row r="6" spans="1:5" x14ac:dyDescent="0.25">
      <c r="A6" s="8" t="s">
        <v>30</v>
      </c>
      <c r="B6" s="2" t="s">
        <v>20</v>
      </c>
      <c r="C6" s="3">
        <v>7</v>
      </c>
      <c r="D6" s="3">
        <f t="shared" ref="D6:D9" si="0">C6/$C$11</f>
        <v>7.0000000000000001E-3</v>
      </c>
      <c r="E6" s="3">
        <f t="shared" ref="E6:E9" si="1">D6*0.709</f>
        <v>4.9629999999999995E-3</v>
      </c>
    </row>
    <row r="7" spans="1:5" x14ac:dyDescent="0.25">
      <c r="A7" s="8" t="s">
        <v>10</v>
      </c>
      <c r="B7" s="2" t="s">
        <v>21</v>
      </c>
      <c r="C7" s="3">
        <v>12100</v>
      </c>
      <c r="D7" s="3">
        <f t="shared" si="0"/>
        <v>12.1</v>
      </c>
      <c r="E7" s="3">
        <f t="shared" si="1"/>
        <v>8.5788999999999991</v>
      </c>
    </row>
    <row r="8" spans="1:5" x14ac:dyDescent="0.25">
      <c r="A8" s="8" t="s">
        <v>31</v>
      </c>
      <c r="B8" s="2" t="s">
        <v>20</v>
      </c>
      <c r="C8" s="3">
        <f>4*1000</f>
        <v>4000</v>
      </c>
      <c r="D8" s="3">
        <f t="shared" si="0"/>
        <v>4</v>
      </c>
      <c r="E8" s="3">
        <f t="shared" si="1"/>
        <v>2.8359999999999999</v>
      </c>
    </row>
    <row r="9" spans="1:5" x14ac:dyDescent="0.25">
      <c r="A9" s="8" t="s">
        <v>11</v>
      </c>
      <c r="B9" s="2" t="s">
        <v>20</v>
      </c>
      <c r="C9" s="3">
        <f>6*1000</f>
        <v>6000</v>
      </c>
      <c r="D9" s="3">
        <f t="shared" si="0"/>
        <v>6</v>
      </c>
      <c r="E9" s="3">
        <f t="shared" si="1"/>
        <v>4.2539999999999996</v>
      </c>
    </row>
    <row r="10" spans="1:5" x14ac:dyDescent="0.25">
      <c r="A10" s="41" t="s">
        <v>14</v>
      </c>
      <c r="B10" s="41"/>
      <c r="C10" s="41"/>
      <c r="D10" s="41"/>
      <c r="E10" s="1"/>
    </row>
    <row r="11" spans="1:5" x14ac:dyDescent="0.25">
      <c r="A11" s="10" t="s">
        <v>26</v>
      </c>
      <c r="B11" s="11" t="s">
        <v>20</v>
      </c>
      <c r="C11" s="12">
        <v>1000</v>
      </c>
      <c r="D11" s="12">
        <f>C11/$C$11</f>
        <v>1</v>
      </c>
      <c r="E11" s="12" t="s">
        <v>36</v>
      </c>
    </row>
    <row r="12" spans="1:5" ht="17.25" x14ac:dyDescent="0.25">
      <c r="A12" s="9" t="s">
        <v>34</v>
      </c>
      <c r="B12" s="4" t="s">
        <v>38</v>
      </c>
      <c r="C12" s="5">
        <v>2500</v>
      </c>
      <c r="D12" s="5">
        <f t="shared" ref="D12:D16" si="2">C12/$C$11</f>
        <v>2.5</v>
      </c>
      <c r="E12" s="5" t="s">
        <v>36</v>
      </c>
    </row>
    <row r="13" spans="1:5" x14ac:dyDescent="0.25">
      <c r="A13" s="8" t="s">
        <v>16</v>
      </c>
      <c r="B13" s="2" t="s">
        <v>20</v>
      </c>
      <c r="C13" s="3">
        <f>231.6/1000</f>
        <v>0.2316</v>
      </c>
      <c r="D13" s="13">
        <f t="shared" si="2"/>
        <v>2.3159999999999999E-4</v>
      </c>
      <c r="E13" s="13">
        <f t="shared" ref="E13:E16" si="3">D13*0.709</f>
        <v>1.6420439999999999E-4</v>
      </c>
    </row>
    <row r="14" spans="1:5" x14ac:dyDescent="0.25">
      <c r="A14" s="14" t="s">
        <v>17</v>
      </c>
      <c r="B14" s="15" t="s">
        <v>20</v>
      </c>
      <c r="C14" s="5">
        <f>72.3/1000</f>
        <v>7.2300000000000003E-2</v>
      </c>
      <c r="D14" s="16">
        <f t="shared" si="2"/>
        <v>7.2300000000000009E-5</v>
      </c>
      <c r="E14" s="18">
        <f t="shared" si="3"/>
        <v>5.1260700000000002E-5</v>
      </c>
    </row>
    <row r="15" spans="1:5" x14ac:dyDescent="0.25">
      <c r="A15" s="8" t="s">
        <v>18</v>
      </c>
      <c r="B15" s="2" t="s">
        <v>20</v>
      </c>
      <c r="C15" s="3">
        <f>450.3/1000</f>
        <v>0.45030000000000003</v>
      </c>
      <c r="D15" s="13">
        <f t="shared" si="2"/>
        <v>4.5030000000000005E-4</v>
      </c>
      <c r="E15" s="13">
        <f t="shared" si="3"/>
        <v>3.1926270000000003E-4</v>
      </c>
    </row>
    <row r="16" spans="1:5" x14ac:dyDescent="0.25">
      <c r="A16" s="8" t="s">
        <v>33</v>
      </c>
      <c r="B16" s="2" t="s">
        <v>20</v>
      </c>
      <c r="C16" s="3">
        <f>35.5/1000</f>
        <v>3.5499999999999997E-2</v>
      </c>
      <c r="D16" s="13">
        <f t="shared" si="2"/>
        <v>3.5499999999999996E-5</v>
      </c>
      <c r="E16" s="13">
        <f t="shared" si="3"/>
        <v>2.5169499999999997E-5</v>
      </c>
    </row>
  </sheetData>
  <mergeCells count="3">
    <mergeCell ref="A2:D2"/>
    <mergeCell ref="A4:D4"/>
    <mergeCell ref="A10:D1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B72E-D98C-4B3C-9CBD-23EC5B5D6D06}">
  <dimension ref="A2:D8"/>
  <sheetViews>
    <sheetView zoomScale="130" zoomScaleNormal="130" workbookViewId="0">
      <selection activeCell="F13" sqref="F13"/>
    </sheetView>
  </sheetViews>
  <sheetFormatPr defaultRowHeight="15" x14ac:dyDescent="0.25"/>
  <cols>
    <col min="1" max="1" width="15.28515625" bestFit="1" customWidth="1"/>
    <col min="2" max="2" width="5" bestFit="1" customWidth="1"/>
    <col min="3" max="3" width="10.42578125" bestFit="1" customWidth="1"/>
    <col min="4" max="4" width="23.5703125" bestFit="1" customWidth="1"/>
  </cols>
  <sheetData>
    <row r="2" spans="1:4" x14ac:dyDescent="0.25">
      <c r="A2" s="41" t="s">
        <v>23</v>
      </c>
      <c r="B2" s="41"/>
      <c r="C2" s="41"/>
      <c r="D2" s="41"/>
    </row>
    <row r="3" spans="1:4" x14ac:dyDescent="0.25">
      <c r="A3" s="7" t="s">
        <v>2</v>
      </c>
      <c r="B3" s="7" t="s">
        <v>3</v>
      </c>
      <c r="C3" s="7" t="s">
        <v>4</v>
      </c>
      <c r="D3" s="7" t="s">
        <v>28</v>
      </c>
    </row>
    <row r="4" spans="1:4" x14ac:dyDescent="0.25">
      <c r="A4" s="41" t="s">
        <v>1</v>
      </c>
      <c r="B4" s="41"/>
      <c r="C4" s="41"/>
      <c r="D4" s="41"/>
    </row>
    <row r="5" spans="1:4" ht="17.25" x14ac:dyDescent="0.25">
      <c r="A5" s="8" t="s">
        <v>29</v>
      </c>
      <c r="B5" s="2" t="s">
        <v>20</v>
      </c>
      <c r="C5" s="3">
        <v>1480</v>
      </c>
      <c r="D5" s="3">
        <f>C5/$C$8</f>
        <v>1.48</v>
      </c>
    </row>
    <row r="6" spans="1:4" x14ac:dyDescent="0.25">
      <c r="A6" s="8" t="s">
        <v>10</v>
      </c>
      <c r="B6" s="2" t="s">
        <v>21</v>
      </c>
      <c r="C6" s="3">
        <v>12650</v>
      </c>
      <c r="D6" s="3">
        <f>C6/$C$8</f>
        <v>12.65</v>
      </c>
    </row>
    <row r="7" spans="1:4" x14ac:dyDescent="0.25">
      <c r="A7" s="41" t="s">
        <v>14</v>
      </c>
      <c r="B7" s="41"/>
      <c r="C7" s="41"/>
      <c r="D7" s="41"/>
    </row>
    <row r="8" spans="1:4" x14ac:dyDescent="0.25">
      <c r="A8" s="10" t="s">
        <v>26</v>
      </c>
      <c r="B8" s="11" t="s">
        <v>20</v>
      </c>
      <c r="C8" s="12">
        <v>1000</v>
      </c>
      <c r="D8" s="12">
        <f>C8/$C$8</f>
        <v>1</v>
      </c>
    </row>
  </sheetData>
  <mergeCells count="3">
    <mergeCell ref="A2:D2"/>
    <mergeCell ref="A4:D4"/>
    <mergeCell ref="A7:D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516C-0A0B-486F-B638-48979603E8B8}">
  <dimension ref="A2:K24"/>
  <sheetViews>
    <sheetView zoomScaleNormal="100" workbookViewId="0">
      <selection activeCell="E28" sqref="E28"/>
    </sheetView>
  </sheetViews>
  <sheetFormatPr defaultRowHeight="15" x14ac:dyDescent="0.25"/>
  <cols>
    <col min="1" max="1" width="21.42578125" bestFit="1" customWidth="1"/>
    <col min="2" max="2" width="16.42578125" bestFit="1" customWidth="1"/>
    <col min="3" max="3" width="15.140625" bestFit="1" customWidth="1"/>
    <col min="4" max="4" width="23.7109375" bestFit="1" customWidth="1"/>
    <col min="5" max="5" width="27.28515625" bestFit="1" customWidth="1"/>
    <col min="6" max="6" width="15.7109375" bestFit="1" customWidth="1"/>
    <col min="7" max="7" width="16.42578125" bestFit="1" customWidth="1"/>
    <col min="8" max="8" width="22.42578125" bestFit="1" customWidth="1"/>
    <col min="9" max="9" width="79.140625" bestFit="1" customWidth="1"/>
  </cols>
  <sheetData>
    <row r="2" spans="1:11" x14ac:dyDescent="0.25">
      <c r="A2" s="41" t="s">
        <v>23</v>
      </c>
      <c r="B2" s="41"/>
      <c r="C2" s="41"/>
      <c r="D2" s="41"/>
    </row>
    <row r="3" spans="1:11" x14ac:dyDescent="0.25">
      <c r="A3" s="7" t="s">
        <v>2</v>
      </c>
      <c r="B3" s="7" t="s">
        <v>3</v>
      </c>
      <c r="C3" s="7" t="s">
        <v>4</v>
      </c>
      <c r="D3" s="7" t="s">
        <v>28</v>
      </c>
    </row>
    <row r="4" spans="1:11" x14ac:dyDescent="0.25">
      <c r="A4" s="41" t="s">
        <v>1</v>
      </c>
      <c r="B4" s="41"/>
      <c r="C4" s="41"/>
      <c r="D4" s="41"/>
      <c r="E4" s="7" t="s">
        <v>66</v>
      </c>
    </row>
    <row r="5" spans="1:11" x14ac:dyDescent="0.25">
      <c r="A5" s="8" t="s">
        <v>29</v>
      </c>
      <c r="B5" s="2" t="s">
        <v>20</v>
      </c>
      <c r="C5" s="3">
        <f>16*E10</f>
        <v>1600</v>
      </c>
      <c r="D5" s="3">
        <f>C5/$C$8</f>
        <v>3.5011441238833334</v>
      </c>
      <c r="E5" s="3">
        <f>D5*0.385</f>
        <v>1.3479404876950833</v>
      </c>
      <c r="F5" s="29"/>
    </row>
    <row r="6" spans="1:11" x14ac:dyDescent="0.25">
      <c r="A6" s="8" t="s">
        <v>65</v>
      </c>
      <c r="B6" s="2" t="s">
        <v>67</v>
      </c>
      <c r="C6" s="3">
        <f>5726399.18051801/1000+13255140.1872794/1000</f>
        <v>18981.53936779741</v>
      </c>
      <c r="D6" s="3">
        <f>C6/$C$8</f>
        <v>41.53569063739004</v>
      </c>
      <c r="E6" s="3">
        <f>D6*0.385</f>
        <v>15.991240895395165</v>
      </c>
      <c r="G6" s="30"/>
    </row>
    <row r="7" spans="1:11" x14ac:dyDescent="0.25">
      <c r="A7" s="41" t="s">
        <v>14</v>
      </c>
      <c r="B7" s="41"/>
      <c r="C7" s="41"/>
      <c r="D7" s="41"/>
      <c r="E7" s="1"/>
    </row>
    <row r="8" spans="1:11" x14ac:dyDescent="0.25">
      <c r="A8" s="10" t="s">
        <v>26</v>
      </c>
      <c r="B8" s="11" t="s">
        <v>20</v>
      </c>
      <c r="C8" s="12">
        <f>E14</f>
        <v>456.99346938775602</v>
      </c>
      <c r="D8" s="12">
        <f>C8/$C$8</f>
        <v>1</v>
      </c>
      <c r="E8" s="12" t="s">
        <v>36</v>
      </c>
    </row>
    <row r="9" spans="1:11" x14ac:dyDescent="0.25">
      <c r="K9" s="19"/>
    </row>
    <row r="10" spans="1:11" x14ac:dyDescent="0.25">
      <c r="B10" s="7" t="s">
        <v>49</v>
      </c>
      <c r="C10" s="23">
        <v>975</v>
      </c>
      <c r="D10" s="42" t="s">
        <v>53</v>
      </c>
      <c r="E10" s="42">
        <v>100</v>
      </c>
      <c r="K10" s="19"/>
    </row>
    <row r="11" spans="1:11" x14ac:dyDescent="0.25">
      <c r="B11" s="7" t="s">
        <v>46</v>
      </c>
      <c r="C11" s="23">
        <v>100</v>
      </c>
      <c r="D11" s="43"/>
      <c r="E11" s="43"/>
    </row>
    <row r="12" spans="1:11" x14ac:dyDescent="0.25">
      <c r="B12" s="27" t="s">
        <v>47</v>
      </c>
      <c r="C12" s="27" t="s">
        <v>51</v>
      </c>
      <c r="D12" s="27" t="s">
        <v>52</v>
      </c>
      <c r="E12" s="27" t="s">
        <v>50</v>
      </c>
      <c r="F12" s="7" t="s">
        <v>56</v>
      </c>
      <c r="G12" s="7" t="s">
        <v>57</v>
      </c>
      <c r="H12" s="7" t="s">
        <v>48</v>
      </c>
      <c r="I12" s="7" t="s">
        <v>58</v>
      </c>
    </row>
    <row r="13" spans="1:11" x14ac:dyDescent="0.25">
      <c r="A13" s="24" t="s">
        <v>39</v>
      </c>
      <c r="B13" s="31">
        <v>33.200000000000003</v>
      </c>
      <c r="C13" s="25">
        <f>$C$11*B13/100/2</f>
        <v>16.600000000000001</v>
      </c>
      <c r="D13" s="25">
        <v>28.05</v>
      </c>
      <c r="E13" s="26">
        <f>D13*C13</f>
        <v>465.63000000000005</v>
      </c>
      <c r="F13" s="26">
        <f>1262*$B$24/$B$23</f>
        <v>1849.4827586206898</v>
      </c>
      <c r="G13" s="26">
        <f>E13*F13/100</f>
        <v>8611.7465689655182</v>
      </c>
      <c r="H13" s="25">
        <f t="shared" ref="H13:H20" si="0">G13/$G$21*100</f>
        <v>61.493722069582176</v>
      </c>
      <c r="I13" s="24" t="s">
        <v>59</v>
      </c>
    </row>
    <row r="14" spans="1:11" x14ac:dyDescent="0.25">
      <c r="A14" s="24" t="s">
        <v>26</v>
      </c>
      <c r="B14" s="31">
        <v>35.1020408163266</v>
      </c>
      <c r="C14" s="25">
        <f>$C$11*B14/100/2</f>
        <v>17.5510204081633</v>
      </c>
      <c r="D14" s="25">
        <v>26.038</v>
      </c>
      <c r="E14" s="26">
        <f t="shared" ref="E14:E20" si="1">D14*C14</f>
        <v>456.99346938775602</v>
      </c>
      <c r="F14" s="26">
        <v>1180</v>
      </c>
      <c r="G14" s="26">
        <f t="shared" ref="G14:G20" si="2">E14*F14/100</f>
        <v>5392.5229387755217</v>
      </c>
      <c r="H14" s="25">
        <f t="shared" si="0"/>
        <v>38.506277930417831</v>
      </c>
      <c r="I14" s="24" t="s">
        <v>60</v>
      </c>
    </row>
    <row r="15" spans="1:11" x14ac:dyDescent="0.25">
      <c r="A15" s="24" t="s">
        <v>40</v>
      </c>
      <c r="B15" s="31">
        <v>6.5306122448978954</v>
      </c>
      <c r="C15" s="25">
        <f>$C$11*B15/100/2</f>
        <v>3.2653061224489477</v>
      </c>
      <c r="D15" s="25">
        <v>30.07</v>
      </c>
      <c r="E15" s="26">
        <f t="shared" si="1"/>
        <v>98.187755102039858</v>
      </c>
      <c r="F15" s="26">
        <v>0</v>
      </c>
      <c r="G15" s="26">
        <f t="shared" si="2"/>
        <v>0</v>
      </c>
      <c r="H15" s="25">
        <f t="shared" si="0"/>
        <v>0</v>
      </c>
      <c r="I15" s="24" t="s">
        <v>59</v>
      </c>
    </row>
    <row r="16" spans="1:11" x14ac:dyDescent="0.25">
      <c r="A16" s="24" t="s">
        <v>42</v>
      </c>
      <c r="B16" s="31">
        <v>1.2244897959184016</v>
      </c>
      <c r="C16" s="25">
        <f>$C$11*B16/100/3</f>
        <v>0.40816326530613384</v>
      </c>
      <c r="D16" s="25">
        <v>42.081000000000003</v>
      </c>
      <c r="E16" s="26">
        <f t="shared" si="1"/>
        <v>17.175918367347418</v>
      </c>
      <c r="F16" s="26">
        <v>0</v>
      </c>
      <c r="G16" s="26">
        <f t="shared" si="2"/>
        <v>0</v>
      </c>
      <c r="H16" s="25">
        <f t="shared" si="0"/>
        <v>0</v>
      </c>
      <c r="I16" s="24" t="s">
        <v>59</v>
      </c>
    </row>
    <row r="17" spans="1:9" x14ac:dyDescent="0.25">
      <c r="A17" s="24" t="s">
        <v>45</v>
      </c>
      <c r="B17" s="31">
        <v>1.2244897959184016</v>
      </c>
      <c r="C17" s="25">
        <f>$C$11*B17/100/3</f>
        <v>0.40816326530613384</v>
      </c>
      <c r="D17" s="25">
        <v>40.063899999999997</v>
      </c>
      <c r="E17" s="26">
        <f t="shared" si="1"/>
        <v>16.352612244898413</v>
      </c>
      <c r="F17" s="26">
        <v>0</v>
      </c>
      <c r="G17" s="26">
        <f t="shared" si="2"/>
        <v>0</v>
      </c>
      <c r="H17" s="25">
        <f t="shared" si="0"/>
        <v>0</v>
      </c>
      <c r="I17" s="24" t="s">
        <v>61</v>
      </c>
    </row>
    <row r="18" spans="1:9" x14ac:dyDescent="0.25">
      <c r="A18" s="24" t="s">
        <v>41</v>
      </c>
      <c r="B18" s="31">
        <v>6.5306122448979096</v>
      </c>
      <c r="C18" s="25">
        <f>$C$11*B18/100/3</f>
        <v>2.176870748299303</v>
      </c>
      <c r="D18" s="25">
        <v>44.097000000000001</v>
      </c>
      <c r="E18" s="26">
        <f t="shared" si="1"/>
        <v>95.993469387754374</v>
      </c>
      <c r="F18" s="26">
        <v>0</v>
      </c>
      <c r="G18" s="26">
        <f t="shared" si="2"/>
        <v>0</v>
      </c>
      <c r="H18" s="25">
        <f t="shared" si="0"/>
        <v>0</v>
      </c>
      <c r="I18" s="24" t="s">
        <v>62</v>
      </c>
    </row>
    <row r="19" spans="1:9" x14ac:dyDescent="0.25">
      <c r="A19" s="24" t="s">
        <v>43</v>
      </c>
      <c r="B19" s="31">
        <v>13.46938775510209</v>
      </c>
      <c r="C19" s="25">
        <f>$C$11*B19/100/6</f>
        <v>2.2448979591836817</v>
      </c>
      <c r="D19" s="25">
        <v>78.11</v>
      </c>
      <c r="E19" s="26">
        <f t="shared" si="1"/>
        <v>175.34897959183738</v>
      </c>
      <c r="F19" s="26">
        <v>0</v>
      </c>
      <c r="G19" s="26">
        <f t="shared" si="2"/>
        <v>0</v>
      </c>
      <c r="H19" s="25">
        <f t="shared" si="0"/>
        <v>0</v>
      </c>
      <c r="I19" s="24" t="s">
        <v>63</v>
      </c>
    </row>
    <row r="20" spans="1:9" x14ac:dyDescent="0.25">
      <c r="A20" s="24" t="s">
        <v>44</v>
      </c>
      <c r="B20" s="31">
        <v>2.7</v>
      </c>
      <c r="C20" s="25">
        <f>$C$11*B20/100/10</f>
        <v>0.27</v>
      </c>
      <c r="D20" s="25">
        <v>128.1705</v>
      </c>
      <c r="E20" s="26">
        <f t="shared" si="1"/>
        <v>34.606035000000006</v>
      </c>
      <c r="F20" s="26">
        <v>0</v>
      </c>
      <c r="G20" s="26">
        <f t="shared" si="2"/>
        <v>0</v>
      </c>
      <c r="H20" s="25">
        <f t="shared" si="0"/>
        <v>0</v>
      </c>
      <c r="I20" s="24" t="s">
        <v>64</v>
      </c>
    </row>
    <row r="21" spans="1:9" x14ac:dyDescent="0.25">
      <c r="B21" s="22">
        <f>SUM(B13:B20)</f>
        <v>99.981632653061311</v>
      </c>
      <c r="G21" s="28">
        <f>SUM(G13:G20)</f>
        <v>14004.269507741039</v>
      </c>
      <c r="H21" s="22">
        <f>SUM(H13:H20)</f>
        <v>100</v>
      </c>
    </row>
    <row r="22" spans="1:9" x14ac:dyDescent="0.25">
      <c r="D22" s="20"/>
    </row>
    <row r="23" spans="1:9" x14ac:dyDescent="0.25">
      <c r="A23" s="21" t="s">
        <v>54</v>
      </c>
      <c r="B23" s="22">
        <v>556.79999999999995</v>
      </c>
    </row>
    <row r="24" spans="1:9" x14ac:dyDescent="0.25">
      <c r="A24" s="21" t="s">
        <v>55</v>
      </c>
      <c r="B24" s="22">
        <v>816</v>
      </c>
    </row>
  </sheetData>
  <mergeCells count="5">
    <mergeCell ref="A2:D2"/>
    <mergeCell ref="A4:D4"/>
    <mergeCell ref="A7:D7"/>
    <mergeCell ref="D10:D11"/>
    <mergeCell ref="E10:E1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8B4C-AF81-4D54-BDD8-5FC02846D677}">
  <dimension ref="A2:D11"/>
  <sheetViews>
    <sheetView zoomScale="130" zoomScaleNormal="130" workbookViewId="0">
      <selection activeCell="F9" sqref="F9"/>
    </sheetView>
  </sheetViews>
  <sheetFormatPr defaultRowHeight="15" x14ac:dyDescent="0.25"/>
  <cols>
    <col min="1" max="1" width="28.42578125" bestFit="1" customWidth="1"/>
    <col min="2" max="2" width="4.85546875" bestFit="1" customWidth="1"/>
    <col min="3" max="3" width="10.42578125" bestFit="1" customWidth="1"/>
    <col min="4" max="4" width="23.5703125" bestFit="1" customWidth="1"/>
  </cols>
  <sheetData>
    <row r="2" spans="1:4" x14ac:dyDescent="0.25">
      <c r="A2" s="41" t="s">
        <v>68</v>
      </c>
      <c r="B2" s="41"/>
      <c r="C2" s="41"/>
      <c r="D2" s="41"/>
    </row>
    <row r="3" spans="1:4" x14ac:dyDescent="0.25">
      <c r="A3" s="32" t="s">
        <v>2</v>
      </c>
      <c r="B3" s="32" t="s">
        <v>3</v>
      </c>
      <c r="C3" s="32" t="s">
        <v>4</v>
      </c>
      <c r="D3" s="32" t="s">
        <v>28</v>
      </c>
    </row>
    <row r="4" spans="1:4" x14ac:dyDescent="0.25">
      <c r="A4" s="41" t="s">
        <v>1</v>
      </c>
      <c r="B4" s="41"/>
      <c r="C4" s="41"/>
      <c r="D4" s="41"/>
    </row>
    <row r="5" spans="1:4" ht="17.25" customHeight="1" x14ac:dyDescent="0.25">
      <c r="A5" s="33" t="s">
        <v>26</v>
      </c>
      <c r="B5" s="34" t="s">
        <v>20</v>
      </c>
      <c r="C5" s="35">
        <f>208*1000/24</f>
        <v>8666.6666666666661</v>
      </c>
      <c r="D5" s="35">
        <f>C5/$C$11</f>
        <v>0.41599999999999998</v>
      </c>
    </row>
    <row r="6" spans="1:4" x14ac:dyDescent="0.25">
      <c r="A6" s="33" t="s">
        <v>69</v>
      </c>
      <c r="B6" s="34" t="s">
        <v>20</v>
      </c>
      <c r="C6" s="35">
        <f>292*1000/24</f>
        <v>12166.666666666666</v>
      </c>
      <c r="D6" s="35">
        <f t="shared" ref="D6:D11" si="0">C6/$C$11</f>
        <v>0.58399999999999996</v>
      </c>
    </row>
    <row r="7" spans="1:4" x14ac:dyDescent="0.25">
      <c r="A7" s="33" t="s">
        <v>65</v>
      </c>
      <c r="B7" s="34" t="s">
        <v>67</v>
      </c>
      <c r="C7" s="35">
        <f>1.92*10^7/24/1000</f>
        <v>800</v>
      </c>
      <c r="D7" s="35">
        <f t="shared" si="0"/>
        <v>3.8400000000000004E-2</v>
      </c>
    </row>
    <row r="8" spans="1:4" x14ac:dyDescent="0.25">
      <c r="A8" s="33" t="s">
        <v>71</v>
      </c>
      <c r="B8" s="34" t="s">
        <v>67</v>
      </c>
      <c r="C8" s="35">
        <f>79.49*10^7/24/1000</f>
        <v>33120.833333333328</v>
      </c>
      <c r="D8" s="35">
        <f t="shared" si="0"/>
        <v>1.5897999999999999</v>
      </c>
    </row>
    <row r="9" spans="1:4" x14ac:dyDescent="0.25">
      <c r="A9" s="33" t="s">
        <v>75</v>
      </c>
      <c r="B9" s="34" t="s">
        <v>67</v>
      </c>
      <c r="C9" s="35">
        <f>19.57*10^7/24/1000</f>
        <v>8154.166666666667</v>
      </c>
      <c r="D9" s="35">
        <f t="shared" si="0"/>
        <v>0.39140000000000003</v>
      </c>
    </row>
    <row r="10" spans="1:4" x14ac:dyDescent="0.25">
      <c r="A10" s="44" t="s">
        <v>14</v>
      </c>
      <c r="B10" s="44"/>
      <c r="C10" s="44"/>
      <c r="D10" s="44"/>
    </row>
    <row r="11" spans="1:4" x14ac:dyDescent="0.25">
      <c r="A11" s="36" t="s">
        <v>70</v>
      </c>
      <c r="B11" s="37" t="s">
        <v>20</v>
      </c>
      <c r="C11" s="38">
        <f>500*1000/24</f>
        <v>20833.333333333332</v>
      </c>
      <c r="D11" s="38">
        <f t="shared" si="0"/>
        <v>1</v>
      </c>
    </row>
  </sheetData>
  <mergeCells count="3">
    <mergeCell ref="A2:D2"/>
    <mergeCell ref="A4:D4"/>
    <mergeCell ref="A10:D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3E2F-8001-47B9-B417-5C43EA17DF67}">
  <dimension ref="A2:D16"/>
  <sheetViews>
    <sheetView zoomScale="130" zoomScaleNormal="130" workbookViewId="0">
      <selection activeCell="E27" sqref="E27"/>
    </sheetView>
  </sheetViews>
  <sheetFormatPr defaultRowHeight="15" x14ac:dyDescent="0.25"/>
  <cols>
    <col min="1" max="1" width="28.42578125" bestFit="1" customWidth="1"/>
    <col min="2" max="2" width="4.85546875" bestFit="1" customWidth="1"/>
    <col min="3" max="3" width="10.42578125" bestFit="1" customWidth="1"/>
    <col min="4" max="4" width="23.5703125" bestFit="1" customWidth="1"/>
  </cols>
  <sheetData>
    <row r="2" spans="1:4" x14ac:dyDescent="0.25">
      <c r="A2" s="41" t="s">
        <v>68</v>
      </c>
      <c r="B2" s="41"/>
      <c r="C2" s="41"/>
      <c r="D2" s="41"/>
    </row>
    <row r="3" spans="1:4" x14ac:dyDescent="0.25">
      <c r="A3" s="32" t="s">
        <v>2</v>
      </c>
      <c r="B3" s="32" t="s">
        <v>3</v>
      </c>
      <c r="C3" s="32" t="s">
        <v>4</v>
      </c>
      <c r="D3" s="32" t="s">
        <v>28</v>
      </c>
    </row>
    <row r="4" spans="1:4" x14ac:dyDescent="0.25">
      <c r="A4" s="41" t="s">
        <v>1</v>
      </c>
      <c r="B4" s="41"/>
      <c r="C4" s="41"/>
      <c r="D4" s="41"/>
    </row>
    <row r="5" spans="1:4" ht="17.25" customHeight="1" x14ac:dyDescent="0.25">
      <c r="A5" s="33" t="s">
        <v>39</v>
      </c>
      <c r="B5" s="34" t="s">
        <v>20</v>
      </c>
      <c r="C5" s="35">
        <v>0.45300000000000001</v>
      </c>
      <c r="D5" s="35">
        <f>C5/$C$14</f>
        <v>0.45300000000000001</v>
      </c>
    </row>
    <row r="6" spans="1:4" x14ac:dyDescent="0.25">
      <c r="A6" s="33" t="s">
        <v>72</v>
      </c>
      <c r="B6" s="34" t="s">
        <v>20</v>
      </c>
      <c r="C6" s="35">
        <v>0.57099999999999995</v>
      </c>
      <c r="D6" s="35">
        <f t="shared" ref="D6:D16" si="0">C6/$C$14</f>
        <v>0.57099999999999995</v>
      </c>
    </row>
    <row r="7" spans="1:4" x14ac:dyDescent="0.25">
      <c r="A7" s="33" t="s">
        <v>73</v>
      </c>
      <c r="B7" s="34" t="s">
        <v>20</v>
      </c>
      <c r="C7" s="35">
        <v>0.13500000000000001</v>
      </c>
      <c r="D7" s="35">
        <f t="shared" si="0"/>
        <v>0.13500000000000001</v>
      </c>
    </row>
    <row r="8" spans="1:4" x14ac:dyDescent="0.25">
      <c r="A8" s="33" t="s">
        <v>11</v>
      </c>
      <c r="B8" s="34" t="s">
        <v>20</v>
      </c>
      <c r="C8" s="35">
        <v>0.38400000000000001</v>
      </c>
      <c r="D8" s="35">
        <f t="shared" si="0"/>
        <v>0.38400000000000001</v>
      </c>
    </row>
    <row r="9" spans="1:4" x14ac:dyDescent="0.25">
      <c r="A9" s="33" t="s">
        <v>65</v>
      </c>
      <c r="B9" s="34" t="s">
        <v>67</v>
      </c>
      <c r="C9" s="35">
        <v>2.38</v>
      </c>
      <c r="D9" s="35">
        <f t="shared" si="0"/>
        <v>2.38</v>
      </c>
    </row>
    <row r="10" spans="1:4" x14ac:dyDescent="0.25">
      <c r="A10" s="33" t="s">
        <v>71</v>
      </c>
      <c r="B10" s="34" t="s">
        <v>67</v>
      </c>
      <c r="C10" s="35">
        <v>4.1100000000000003</v>
      </c>
      <c r="D10" s="35">
        <f t="shared" si="0"/>
        <v>4.1100000000000003</v>
      </c>
    </row>
    <row r="11" spans="1:4" x14ac:dyDescent="0.25">
      <c r="A11" s="33" t="s">
        <v>74</v>
      </c>
      <c r="B11" s="34" t="s">
        <v>67</v>
      </c>
      <c r="C11" s="35">
        <v>2.15</v>
      </c>
      <c r="D11" s="35">
        <f t="shared" si="0"/>
        <v>2.15</v>
      </c>
    </row>
    <row r="12" spans="1:4" x14ac:dyDescent="0.25">
      <c r="A12" s="33" t="s">
        <v>10</v>
      </c>
      <c r="B12" s="34" t="s">
        <v>21</v>
      </c>
      <c r="C12" s="35">
        <v>2.4400000000000002E-2</v>
      </c>
      <c r="D12" s="35">
        <f t="shared" si="0"/>
        <v>2.4400000000000002E-2</v>
      </c>
    </row>
    <row r="13" spans="1:4" x14ac:dyDescent="0.25">
      <c r="A13" s="44" t="s">
        <v>14</v>
      </c>
      <c r="B13" s="44"/>
      <c r="C13" s="44"/>
      <c r="D13" s="44"/>
    </row>
    <row r="14" spans="1:4" x14ac:dyDescent="0.25">
      <c r="A14" s="36" t="s">
        <v>70</v>
      </c>
      <c r="B14" s="37" t="s">
        <v>20</v>
      </c>
      <c r="C14" s="38">
        <v>1</v>
      </c>
      <c r="D14" s="38">
        <f t="shared" si="0"/>
        <v>1</v>
      </c>
    </row>
    <row r="15" spans="1:4" ht="17.25" x14ac:dyDescent="0.25">
      <c r="A15" s="33" t="s">
        <v>77</v>
      </c>
      <c r="B15" s="34" t="s">
        <v>78</v>
      </c>
      <c r="C15" s="39">
        <v>4.4099999999999999E-3</v>
      </c>
      <c r="D15" s="40">
        <f t="shared" si="0"/>
        <v>4.4099999999999999E-3</v>
      </c>
    </row>
    <row r="16" spans="1:4" x14ac:dyDescent="0.25">
      <c r="A16" s="33" t="s">
        <v>76</v>
      </c>
      <c r="B16" s="34" t="s">
        <v>20</v>
      </c>
      <c r="C16" s="39">
        <v>1.78E-2</v>
      </c>
      <c r="D16" s="40">
        <f t="shared" si="0"/>
        <v>1.78E-2</v>
      </c>
    </row>
  </sheetData>
  <mergeCells count="3">
    <mergeCell ref="A2:D2"/>
    <mergeCell ref="A4:D4"/>
    <mergeCell ref="A13: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calcium_carbide</vt:lpstr>
      <vt:lpstr>partial_oxidation</vt:lpstr>
      <vt:lpstr>hot_plasma</vt:lpstr>
      <vt:lpstr>cold_plasma</vt:lpstr>
      <vt:lpstr>thermal_pyrolysis</vt:lpstr>
      <vt:lpstr>acetylene_VCM</vt:lpstr>
      <vt:lpstr>ethylene_VCM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2024-05-27T16:54:42Z</dcterms:created>
  <dcterms:modified xsi:type="dcterms:W3CDTF">2024-09-06T09:15:29Z</dcterms:modified>
</cp:coreProperties>
</file>